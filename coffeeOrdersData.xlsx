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iamsu\Downloads\"/>
    </mc:Choice>
  </mc:AlternateContent>
  <xr:revisionPtr revIDLastSave="0" documentId="13_ncr:1_{94B22C46-8620-4514-92A9-1AAE89EE4356}" xr6:coauthVersionLast="47" xr6:coauthVersionMax="47" xr10:uidLastSave="{00000000-0000-0000-0000-000000000000}"/>
  <bookViews>
    <workbookView xWindow="-108" yWindow="-108" windowWidth="23256" windowHeight="12456" activeTab="3" xr2:uid="{00000000-000D-0000-FFFF-FFFF00000000}"/>
  </bookViews>
  <sheets>
    <sheet name="TotalSales" sheetId="18" r:id="rId1"/>
    <sheet name="CountryBarChart" sheetId="19" r:id="rId2"/>
    <sheet name=" Top5Customers" sheetId="20"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J4" i="17"/>
  <c r="O4" i="17" s="1"/>
  <c r="I6" i="17"/>
  <c r="N6" i="17" s="1"/>
  <c r="I3" i="17"/>
  <c r="N3" i="17" s="1"/>
  <c r="J3" i="17"/>
  <c r="O3" i="17" s="1"/>
  <c r="K3" i="17"/>
  <c r="L3" i="17"/>
  <c r="M3" i="17" s="1"/>
  <c r="I4" i="17"/>
  <c r="N4" i="17" s="1"/>
  <c r="K4" i="17"/>
  <c r="L4" i="17"/>
  <c r="M4" i="17" s="1"/>
  <c r="I5" i="17"/>
  <c r="N5" i="17" s="1"/>
  <c r="J5" i="17"/>
  <c r="O5" i="17" s="1"/>
  <c r="K5" i="17"/>
  <c r="L5" i="17"/>
  <c r="M5"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<sst xmlns="http://schemas.openxmlformats.org/spreadsheetml/2006/main" count="11136" uniqueCount="6226">
  <si>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</si>
  <si>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</si>
  <si>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</si>
  <si>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</si>
  <si>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</si>
  <si>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</si>
  <si>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</si>
  <si>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</si>
  <si>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</si>
  <si>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</si>
  <si>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</si>
  <si>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</si>
  <si>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</si>
  <si>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</si>
  <si>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</si>
  <si>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</si>
  <si>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</si>
  <si>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</si>
  <si>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</si>
  <si>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</si>
  <si>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</si>
  <si>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</si>
  <si>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</si>
  <si>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</si>
  <si>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</si>
  <si>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</si>
  <si>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</si>
  <si>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</si>
  <si>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</si>
  <si>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</si>
  <si>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</si>
  <si>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</si>
  <si>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</si>
  <si>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</si>
  <si>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</si>
  <si>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</si>
  <si>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</si>
  <si>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</si>
  <si>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</si>
  <si>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</si>
  <si>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</si>
  <si>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</si>
  <si>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</si>
  <si>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</si>
  <si>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</si>
  <si>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</si>
  <si>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</si>
  <si>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</si>
  <si>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</si>
  <si>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</si>
  <si>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</si>
  <si>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</si>
  <si>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</si>
  <si>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</si>
  <si>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</si>
  <si>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</si>
  <si>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</si>
  <si>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</si>
  <si>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</si>
  <si>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</si>
  <si>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</si>
  <si>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</si>
  <si>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</si>
  <si>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</si>
  <si>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</si>
  <si>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</si>
  <si>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</si>
  <si>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</si>
  <si>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</si>
  <si>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</si>
  <si>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</si>
  <si>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</si>
  <si>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</si>
  <si>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</si>
  <si>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</si>
  <si>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</si>
  <si>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</si>
  <si>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</si>
  <si>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</si>
  <si>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</si>
  <si>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</si>
  <si>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</si>
  <si>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</si>
  <si>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</si>
  <si>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</si>
  <si>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</si>
  <si>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</si>
  <si>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</si>
  <si>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</si>
  <si>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</si>
  <si>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</si>
  <si>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</si>
  <si>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</si>
  <si>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</si>
  <si>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</si>
  <si>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</si>
  <si>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</si>
  <si>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</si>
  <si>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</si>
  <si>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</si>
  <si>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</si>
  <si>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</si>
  <si>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</si>
  <si>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</si>
  <si>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</si>
  <si>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</si>
  <si>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</si>
  <si>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</si>
  <si>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</si>
  <si>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</si>
  <si>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</si>
  <si>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</si>
  <si>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</si>
  <si>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</si>
  <si>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</si>
  <si>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</si>
  <si>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</si>
  <si>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</si>
  <si>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</si>
  <si>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</si>
  <si>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</si>
  <si>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</si>
  <si>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</si>
  <si>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</si>
  <si>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</si>
  <si>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</si>
  <si>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</si>
  <si>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</si>
  <si>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</si>
  <si>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</si>
  <si>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</si>
  <si>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</si>
  <si>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</si>
  <si>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</si>
  <si>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</si>
  <si>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</si>
  <si>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</si>
  <si>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</si>
  <si>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</si>
  <si>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</si>
  <si>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</si>
  <si>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</si>
  <si>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</si>
  <si>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</si>
  <si>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</si>
  <si>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</si>
  <si>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</si>
  <si>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</si>
  <si>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</si>
  <si>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</si>
  <si>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</si>
  <si>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</si>
  <si>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</si>
  <si>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</si>
  <si>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</si>
  <si>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</si>
  <si>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</si>
  <si>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</si>
  <si>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</si>
  <si>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</si>
  <si>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</si>
  <si>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</si>
  <si>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</si>
  <si>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</si>
  <si>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</si>
  <si>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</si>
  <si>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</si>
  <si>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</si>
  <si>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</si>
  <si>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</si>
  <si>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</si>
  <si>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</si>
  <si>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</si>
  <si>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</si>
  <si>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</si>
  <si>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</si>
  <si>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</si>
  <si>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</si>
  <si>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</si>
  <si>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</si>
  <si>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</si>
  <si>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</si>
  <si>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</si>
  <si>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</si>
  <si>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</si>
  <si>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</si>
  <si>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</si>
  <si>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</si>
  <si>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</si>
  <si>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</si>
  <si>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</si>
  <si>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</si>
  <si>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</si>
  <si>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</si>
  <si>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</si>
  <si>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</si>
  <si>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</si>
  <si>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</si>
  <si>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</si>
  <si>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</si>
  <si>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</si>
  <si>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</si>
  <si>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</si>
  <si>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</si>
  <si>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</si>
  <si>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</si>
  <si>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</si>
  <si>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</si>
  <si>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</si>
  <si>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</si>
  <si>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</si>
  <si>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</si>
  <si>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</si>
  <si>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</si>
  <si>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</si>
  <si>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</si>
  <si>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</si>
  <si>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</si>
  <si>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</si>
  <si>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</si>
  <si>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</si>
  <si>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</si>
  <si>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</si>
  <si>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</si>
  <si>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</si>
  <si>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</si>
  <si>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</si>
  <si>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</si>
  <si>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</si>
  <si>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</si>
  <si>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</si>
  <si>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</si>
  <si>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</si>
  <si>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</si>
  <si>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</si>
  <si>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</si>
  <si>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</si>
  <si>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</si>
  <si>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</si>
  <si>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</si>
  <si>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</si>
  <si>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</si>
  <si>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</si>
  <si>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</si>
  <si>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</si>
  <si>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</si>
  <si>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</si>
  <si>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</si>
  <si>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</si>
  <si>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</si>
  <si>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</si>
  <si>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</si>
  <si>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</si>
  <si>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</si>
  <si>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</si>
  <si>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</si>
  <si>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</si>
  <si>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</si>
  <si>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</si>
  <si>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</si>
  <si>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</si>
  <si>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</si>
  <si>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</si>
  <si>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</si>
  <si>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</si>
  <si>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</si>
  <si>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</si>
  <si>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</si>
  <si>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</si>
  <si>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</si>
  <si>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</si>
  <si>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</si>
  <si>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</si>
  <si>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</si>
  <si>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</si>
  <si>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</si>
  <si>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</si>
  <si>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</si>
  <si>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</si>
  <si>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</si>
  <si>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</si>
  <si>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</si>
  <si>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</si>
  <si>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</si>
  <si>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</si>
  <si>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</si>
  <si>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</si>
  <si>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</si>
  <si>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</si>
  <si>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</si>
  <si>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</si>
  <si>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</si>
  <si>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</si>
  <si>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</si>
  <si>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</si>
  <si>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</si>
  <si>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</si>
  <si>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</si>
  <si>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</si>
  <si>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</si>
  <si>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</si>
  <si>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</si>
  <si>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</si>
  <si>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</si>
  <si>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</si>
  <si>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</si>
  <si>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</si>
  <si>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</si>
  <si>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</si>
  <si>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</si>
  <si>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</si>
  <si>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</si>
  <si>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</si>
  <si>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</si>
  <si>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</si>
  <si>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</si>
  <si>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</si>
  <si>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</si>
  <si>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</si>
  <si>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</si>
  <si>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</si>
  <si>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</si>
  <si>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</si>
  <si>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</si>
  <si>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</si>
  <si>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</si>
  <si>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</si>
  <si>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</si>
  <si>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</si>
  <si>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</si>
  <si>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</si>
  <si>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</si>
  <si>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</si>
  <si>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</si>
  <si>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</si>
  <si>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</si>
  <si>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</si>
  <si>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</si>
  <si>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</si>
  <si>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</si>
  <si>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</si>
  <si>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</si>
  <si>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</si>
  <si>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</si>
  <si>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</si>
  <si>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</si>
  <si>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</si>
  <si>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</si>
  <si>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</si>
  <si>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</si>
  <si>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</si>
  <si>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</si>
  <si>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</si>
  <si>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</si>
  <si>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</si>
  <si>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</si>
  <si>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</si>
  <si>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</si>
  <si>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</si>
  <si>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</si>
  <si>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</si>
  <si>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</si>
  <si>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</si>
  <si>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</si>
  <si>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</si>
  <si>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</si>
  <si>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</si>
  <si>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</si>
  <si>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</si>
  <si>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</si>
  <si>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</si>
  <si>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</si>
  <si>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</si>
  <si>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</si>
  <si>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</si>
  <si>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</si>
  <si>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</si>
  <si>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</si>
  <si>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</si>
  <si>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</si>
  <si>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</si>
  <si>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</si>
  <si>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</si>
  <si>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</si>
  <si>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</si>
  <si>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</si>
  <si>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</si>
  <si>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</si>
  <si>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</si>
  <si>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</si>
  <si>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</si>
  <si>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</si>
  <si>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</si>
  <si>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</si>
  <si>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</si>
  <si>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</si>
  <si>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</si>
  <si>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</si>
  <si>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</si>
  <si>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</si>
  <si>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</si>
  <si>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</si>
  <si>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</si>
  <si>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</si>
  <si>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</si>
  <si>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</si>
  <si>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</si>
  <si>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</si>
  <si>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</si>
  <si>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</si>
  <si>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</si>
  <si>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</si>
  <si>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</si>
  <si>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</si>
  <si>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</si>
  <si>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</si>
  <si>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</si>
  <si>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</si>
  <si>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</si>
  <si>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</si>
  <si>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</si>
  <si>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</si>
  <si>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</si>
  <si>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</si>
  <si>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</si>
  <si>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</si>
  <si>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</si>
  <si>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</si>
  <si>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</si>
  <si>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</si>
  <si>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</si>
  <si>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</si>
  <si>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</si>
  <si>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</si>
  <si>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</si>
  <si>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</si>
  <si>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</si>
  <si>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</si>
  <si>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</si>
  <si>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</si>
  <si>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</si>
  <si>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</si>
  <si>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</si>
  <si>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</si>
  <si>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</si>
  <si>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</si>
  <si>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</si>
  <si>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</si>
  <si>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</si>
  <si>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</si>
  <si>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</si>
  <si>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</si>
  <si>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</si>
  <si>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</si>
  <si>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</si>
  <si>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</si>
  <si>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</si>
  <si>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</si>
  <si>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</si>
  <si>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</si>
  <si>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</si>
  <si>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</si>
  <si>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</si>
  <si>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</si>
  <si>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</si>
  <si>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</si>
  <si>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</si>
  <si>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</si>
  <si>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</si>
  <si>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</si>
  <si>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</si>
  <si>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</si>
  <si>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</si>
  <si>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</si>
  <si>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</si>
  <si>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</si>
  <si>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</si>
  <si>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</si>
  <si>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</si>
  <si>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</si>
  <si>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</si>
  <si>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</si>
  <si>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</si>
  <si>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</si>
  <si>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</si>
  <si>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</si>
  <si>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</si>
  <si>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</si>
  <si>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</si>
  <si>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</si>
  <si>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</si>
  <si>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</si>
  <si>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</si>
  <si>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</si>
  <si>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</si>
  <si>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</si>
  <si>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</si>
  <si>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</si>
  <si>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</si>
  <si>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</si>
  <si>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</si>
  <si>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</si>
  <si>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</si>
  <si>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</si>
  <si>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</si>
  <si>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</si>
  <si>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</si>
  <si>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</si>
  <si>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</si>
  <si>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</si>
  <si>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</si>
  <si>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</si>
  <si>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</si>
  <si>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</si>
  <si>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</si>
  <si>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</si>
  <si>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</si>
  <si>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</si>
  <si>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</si>
  <si>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</si>
  <si>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</si>
  <si>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</si>
  <si>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</si>
  <si>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</si>
  <si>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</si>
  <si>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</si>
  <si>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</si>
  <si>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</si>
  <si>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</si>
  <si>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</si>
  <si>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</si>
  <si>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</si>
  <si>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</si>
  <si>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</si>
  <si>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</si>
  <si>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</si>
  <si>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</si>
  <si>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</si>
  <si>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</si>
  <si>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</si>
  <si>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</si>
  <si>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</si>
  <si>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</si>
  <si>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</si>
  <si>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</si>
  <si>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</si>
  <si>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</si>
  <si>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</si>
  <si>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</si>
  <si>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</si>
  <si>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</si>
  <si>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</si>
  <si>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</si>
  <si>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</si>
  <si>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</si>
  <si>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</si>
  <si>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</si>
  <si>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</si>
  <si>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</si>
  <si>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</si>
  <si>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</si>
  <si>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</si>
  <si>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</si>
  <si>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</si>
  <si>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</si>
  <si>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</si>
  <si>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</si>
  <si>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</si>
  <si>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</si>
  <si>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</si>
  <si>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</si>
  <si>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</si>
  <si>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</si>
  <si>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</si>
  <si>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</si>
  <si>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</si>
  <si>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</si>
  <si>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</si>
  <si>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</si>
  <si>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</si>
  <si>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</si>
  <si>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</si>
  <si>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</si>
  <si>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</si>
  <si>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</si>
  <si>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</si>
  <si>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</si>
  <si>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</si>
  <si>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</si>
  <si>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</si>
  <si>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</si>
  <si>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</si>
  <si>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</si>
  <si>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</si>
  <si>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</si>
  <si>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</si>
  <si>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</si>
  <si>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</si>
  <si>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</si>
  <si>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</si>
  <si>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</si>
  <si>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</si>
  <si>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</si>
  <si>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</si>
  <si>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</si>
  <si>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</si>
  <si>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</si>
  <si>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</si>
  <si>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</si>
  <si>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</si>
  <si>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</si>
  <si>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</si>
  <si>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</si>
  <si>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</si>
  <si>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</si>
  <si>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</si>
  <si>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</si>
  <si>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</si>
  <si>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</si>
  <si>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</si>
  <si>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</si>
  <si>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</si>
  <si>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</si>
  <si>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</si>
  <si>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</si>
  <si>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</si>
  <si>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</si>
  <si>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</si>
  <si>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</si>
  <si>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</si>
  <si>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</si>
  <si>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</si>
  <si>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</si>
  <si>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</si>
  <si>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</si>
  <si>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</si>
  <si>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</si>
  <si>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</si>
  <si>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</si>
  <si>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</si>
  <si>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</si>
  <si>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</si>
  <si>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</si>
  <si>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</si>
  <si>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</si>
  <si>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</si>
  <si>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</si>
  <si>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</si>
  <si>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</si>
  <si>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</si>
  <si>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</si>
  <si>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</si>
  <si>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</si>
  <si>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</si>
  <si>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</si>
  <si>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</si>
  <si>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</si>
  <si>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</si>
  <si>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</si>
  <si>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</si>
  <si>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</si>
  <si>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</si>
  <si>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</si>
  <si>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</si>
  <si>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</si>
  <si>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</si>
  <si>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</si>
  <si>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</si>
  <si>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</si>
  <si>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</si>
  <si>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</si>
  <si>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</si>
  <si>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</si>
  <si>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</si>
  <si>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</si>
  <si>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</si>
  <si>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</si>
  <si>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</si>
  <si>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</si>
  <si>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</si>
  <si>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</si>
  <si>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</si>
  <si>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</si>
  <si>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</si>
  <si>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</si>
  <si>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</si>
  <si>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</si>
  <si>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</si>
  <si>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</si>
  <si>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</si>
  <si>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</si>
  <si>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</si>
  <si>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</si>
  <si>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</si>
  <si>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</si>
  <si>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</si>
  <si>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</si>
  <si>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</si>
  <si>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</si>
  <si>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</si>
  <si>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</si>
  <si>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</si>
  <si>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</si>
  <si>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</si>
  <si>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</si>
  <si>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</si>
  <si>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</si>
  <si>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</si>
  <si>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</si>
  <si>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</si>
  <si>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</si>
  <si>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</si>
  <si>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</si>
  <si>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</si>
  <si>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</si>
  <si>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</si>
  <si>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</si>
  <si>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</si>
  <si>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</si>
  <si>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</si>
  <si>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</si>
  <si>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</si>
  <si>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</si>
  <si>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</si>
  <si>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</si>
  <si>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</si>
  <si>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</si>
  <si>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</si>
  <si>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</si>
  <si>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</si>
  <si>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</si>
  <si>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</si>
  <si>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</si>
  <si>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</si>
  <si>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</si>
  <si>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</si>
  <si>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</si>
  <si>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</si>
  <si>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</si>
  <si>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</si>
  <si>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</si>
  <si>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</si>
  <si>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</si>
  <si>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</si>
  <si>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</si>
  <si>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</si>
  <si>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</si>
  <si>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</si>
  <si>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</si>
  <si>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</si>
  <si>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</si>
  <si>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</si>
  <si>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</si>
  <si>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</si>
  <si>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</si>
  <si>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</si>
  <si>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</si>
  <si>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</si>
  <si>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</si>
  <si>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</si>
  <si>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</si>
  <si>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</si>
  <si>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</si>
  <si>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</si>
  <si>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</si>
  <si>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</si>
  <si>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</si>
  <si>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</si>
  <si>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</si>
  <si>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</si>
  <si>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</si>
  <si>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</si>
  <si>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</si>
  <si>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</si>
  <si>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</si>
  <si>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</si>
  <si>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</si>
  <si>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</si>
  <si>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</si>
  <si>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</si>
  <si>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</si>
  <si>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</si>
  <si>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</si>
  <si>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</si>
  <si>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</si>
  <si>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</si>
  <si>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</si>
  <si>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</si>
  <si>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</si>
  <si>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</si>
  <si>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</si>
  <si>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</si>
  <si>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</si>
  <si>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</si>
  <si>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</si>
  <si>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</si>
  <si>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</si>
  <si>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</si>
  <si>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</si>
  <si>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</si>
  <si>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</si>
  <si>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</si>
  <si>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</si>
  <si>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</si>
  <si>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</si>
  <si>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</si>
  <si>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</si>
  <si>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</si>
  <si>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</si>
  <si>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</si>
  <si>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</si>
  <si>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</si>
  <si>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</si>
  <si>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</si>
  <si>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</si>
  <si>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</si>
  <si>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</si>
  <si>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</si>
  <si>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</si>
  <si>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</si>
  <si>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</si>
  <si>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</si>
  <si>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</si>
  <si>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</si>
  <si>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</si>
  <si>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</si>
  <si>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</si>
  <si>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</si>
  <si>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</si>
  <si>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</si>
  <si>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</si>
  <si>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</si>
  <si>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</si>
  <si>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</si>
  <si>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</si>
  <si>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</si>
  <si>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</si>
  <si>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</si>
  <si>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</si>
  <si>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</si>
  <si>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</si>
  <si>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</si>
  <si>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</si>
  <si>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</si>
  <si>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</si>
  <si>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</si>
  <si>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</si>
  <si>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</si>
  <si>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</si>
  <si>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</si>
  <si>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</si>
  <si>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</si>
  <si>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</si>
  <si>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</si>
  <si>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</si>
  <si>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</si>
  <si>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</si>
  <si>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</si>
  <si>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</si>
  <si>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</si>
  <si>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</si>
  <si>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</si>
  <si>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</si>
  <si>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</si>
  <si>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</si>
  <si>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</si>
  <si>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</si>
  <si>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</si>
  <si>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</si>
  <si>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</si>
  <si>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</si>
  <si>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</si>
  <si>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</si>
  <si>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</si>
  <si>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</si>
  <si>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</si>
  <si>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</si>
  <si>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</si>
  <si>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</si>
  <si>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</si>
  <si>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</si>
  <si>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</si>
  <si>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</si>
  <si>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</si>
  <si>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</si>
  <si>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</si>
  <si>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</si>
  <si>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</si>
  <si>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</si>
  <si>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</si>
  <si>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</si>
  <si>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</si>
  <si>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</si>
  <si>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</si>
  <si>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</si>
  <si>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</si>
  <si>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</si>
  <si>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</si>
  <si>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</si>
  <si>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</si>
  <si>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</si>
  <si>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</si>
  <si>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</si>
  <si>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</si>
  <si>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</si>
  <si>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</si>
  <si>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</si>
  <si>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</si>
  <si>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</si>
  <si>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</si>
  <si>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</si>
  <si>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</si>
  <si>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</si>
  <si>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</si>
  <si>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</si>
  <si>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</si>
  <si>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</si>
  <si>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</si>
  <si>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</si>
  <si>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</si>
  <si>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</si>
  <si>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</si>
  <si>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</si>
  <si>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</si>
  <si>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</si>
  <si>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</si>
  <si>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</si>
  <si>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</si>
  <si>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</si>
  <si>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</si>
  <si>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</si>
  <si>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</si>
  <si>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</si>
  <si>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</si>
  <si>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</si>
  <si>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</si>
  <si>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</si>
  <si>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</si>
  <si>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</si>
  <si>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</si>
  <si>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</si>
  <si>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</si>
  <si>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</si>
  <si>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</si>
  <si>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</si>
  <si>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</si>
  <si>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</si>
  <si>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</si>
  <si>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</si>
  <si>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</si>
  <si>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</si>
  <si>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</si>
  <si>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</si>
  <si>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</si>
  <si>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</si>
  <si>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</si>
  <si>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</si>
  <si>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</si>
  <si>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</si>
  <si>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</si>
  <si>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</si>
  <si>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</si>
  <si>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</si>
  <si>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</si>
  <si>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</si>
  <si>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</si>
  <si>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</si>
  <si>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</si>
  <si>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</si>
  <si>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</si>
  <si>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</si>
  <si>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</si>
  <si>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</si>
  <si>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</si>
  <si>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</si>
  <si>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</si>
  <si>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</si>
  <si>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</si>
  <si>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</si>
  <si>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</si>
  <si>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</si>
  <si>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</si>
  <si>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</si>
  <si>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</si>
  <si>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</si>
  <si>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</si>
  <si>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</si>
  <si>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</si>
  <si>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</si>
  <si>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</si>
  <si>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</si>
  <si>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</si>
  <si>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</si>
  <si>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</si>
  <si>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</si>
  <si>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</si>
  <si>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</si>
  <si>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</si>
  <si>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</si>
  <si>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</si>
  <si>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</si>
  <si>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</si>
  <si>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</si>
  <si>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</si>
  <si>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</si>
  <si>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</si>
  <si>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</si>
  <si>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</si>
  <si>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</si>
  <si>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</si>
  <si>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</si>
  <si>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</si>
  <si>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</si>
  <si>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</si>
  <si>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</si>
  <si>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</si>
  <si>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</si>
  <si>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</si>
  <si>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</si>
  <si>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</si>
  <si>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</si>
  <si>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</si>
  <si>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</si>
  <si>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</si>
  <si>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</si>
  <si>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</si>
  <si>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</si>
  <si>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</si>
  <si>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</si>
  <si>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</si>
  <si>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</si>
  <si>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</si>
  <si>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</si>
  <si>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</si>
  <si>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</si>
  <si>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</si>
  <si>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</si>
  <si>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</si>
  <si>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</si>
  <si>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</si>
  <si>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</si>
  <si>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</si>
  <si>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</si>
  <si>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</si>
  <si>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</si>
  <si>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</si>
  <si>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</si>
  <si>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</si>
  <si>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</si>
  <si>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</si>
  <si>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</si>
  <si>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</si>
  <si>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</si>
  <si>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</si>
  <si>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</si>
  <si>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</si>
  <si>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</si>
  <si>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</si>
  <si>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</si>
  <si>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</si>
  <si>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</si>
  <si>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</si>
  <si>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</si>
  <si>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</si>
  <si>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</si>
  <si>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</si>
  <si>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</si>
  <si>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</si>
  <si>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</si>
  <si>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</si>
  <si>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</si>
  <si>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</si>
  <si>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</si>
  <si>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</si>
  <si>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</si>
  <si>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</si>
  <si>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</si>
  <si>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</si>
  <si>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</si>
  <si>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</si>
  <si>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</si>
  <si>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</si>
  <si>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</si>
  <si>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</si>
  <si>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</si>
  <si>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</si>
  <si>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</si>
  <si>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</si>
  <si>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</si>
  <si>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</si>
  <si>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</si>
  <si>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</si>
  <si>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</si>
  <si>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</si>
  <si>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</si>
  <si>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</si>
  <si>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</si>
  <si>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</si>
  <si>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</si>
  <si>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</si>
  <si>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</si>
  <si>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</si>
  <si>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</si>
  <si>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</si>
  <si>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</si>
  <si>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</si>
  <si>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</si>
  <si>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</si>
  <si>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</si>
  <si>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</si>
  <si>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</si>
  <si>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</si>
  <si>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</si>
  <si>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</si>
  <si>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</si>
  <si>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</si>
  <si>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</si>
  <si>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</si>
  <si>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</si>
  <si>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</si>
  <si>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</si>
  <si>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</si>
  <si>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</si>
  <si>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</si>
  <si>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</si>
  <si>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</si>
  <si>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</si>
  <si>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</si>
  <si>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</si>
  <si>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</si>
  <si>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</si>
  <si>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</si>
  <si>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</si>
  <si>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</si>
  <si>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</si>
  <si>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</si>
  <si>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</si>
  <si>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</si>
  <si>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</si>
  <si>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</si>
  <si>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</si>
  <si>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</si>
  <si>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</si>
  <si>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</si>
  <si>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</si>
  <si>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</si>
  <si>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</si>
  <si>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</si>
  <si>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</si>
  <si>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</si>
  <si>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</si>
  <si>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</si>
  <si>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</si>
  <si>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</si>
  <si>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</si>
  <si>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</si>
  <si>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</si>
  <si>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</si>
  <si>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</si>
  <si>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</si>
  <si>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</si>
  <si>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</si>
  <si>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</si>
  <si>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</si>
  <si>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</si>
  <si>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</si>
  <si>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</si>
  <si>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</si>
  <si>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</si>
  <si>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</si>
  <si>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</si>
  <si>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</si>
  <si>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</si>
  <si>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</si>
  <si>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</si>
  <si>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</si>
  <si>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</si>
  <si>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</si>
  <si>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</si>
  <si>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</si>
  <si>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</si>
  <si>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</si>
  <si>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</si>
  <si>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</si>
  <si>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</si>
  <si>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</si>
  <si>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</si>
  <si>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</si>
  <si>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</si>
  <si>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</si>
  <si>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</si>
  <si>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</si>
  <si>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</si>
  <si>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</si>
  <si>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</si>
  <si>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</si>
  <si>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</si>
  <si>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</si>
  <si>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</si>
  <si>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</si>
  <si>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</si>
  <si>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</si>
  <si>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</si>
  <si>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</si>
  <si>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</si>
  <si>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</si>
  <si>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</si>
  <si>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</si>
  <si>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</si>
  <si>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</si>
  <si>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</si>
  <si>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</si>
  <si>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</si>
  <si>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</si>
  <si>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</si>
  <si>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</si>
  <si>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</si>
  <si>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</si>
  <si>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</si>
  <si>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</si>
  <si>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</si>
  <si>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</si>
  <si>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</si>
  <si>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</si>
  <si>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</si>
  <si>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</si>
  <si>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</si>
  <si>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</si>
  <si>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</si>
  <si>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</si>
  <si>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</si>
  <si>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</si>
  <si>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</si>
  <si>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</si>
  <si>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</si>
  <si>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</si>
  <si>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</si>
  <si>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</si>
  <si>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</si>
  <si>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</si>
  <si>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</si>
  <si>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</si>
  <si>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</si>
  <si>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</si>
  <si>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</si>
  <si>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</si>
  <si>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</si>
  <si>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</si>
  <si>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</si>
  <si>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</si>
  <si>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</si>
  <si>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</si>
  <si>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</si>
  <si>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</si>
  <si>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</si>
  <si>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</si>
  <si>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</si>
  <si>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</si>
  <si>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</si>
  <si>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</si>
  <si>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</si>
  <si>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</si>
  <si>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</si>
  <si>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</si>
  <si>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</si>
  <si>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</si>
  <si>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</si>
  <si>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</si>
  <si>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</si>
  <si>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</si>
  <si>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</si>
  <si>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</si>
  <si>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</si>
  <si>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</si>
  <si>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</si>
  <si>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</si>
  <si>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</si>
  <si>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</si>
  <si>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</si>
  <si>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</si>
  <si>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</si>
  <si>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</si>
  <si>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</si>
  <si>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</si>
  <si>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</si>
  <si>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</si>
  <si>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</si>
  <si>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</si>
  <si>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</si>
  <si>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</si>
  <si>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</si>
  <si>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</si>
  <si>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</si>
  <si>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</si>
  <si>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</si>
  <si>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</si>
  <si>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</si>
  <si>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</si>
  <si>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</si>
  <si>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</si>
  <si>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</si>
  <si>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</si>
  <si>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</si>
  <si>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</si>
  <si>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</si>
  <si>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</si>
  <si>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</si>
  <si>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</si>
  <si>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</si>
  <si>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</si>
  <si>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</si>
  <si>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</si>
  <si>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</si>
  <si>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</si>
  <si>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</si>
  <si>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</si>
  <si>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</si>
  <si>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</si>
  <si>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</si>
  <si>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</si>
  <si>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</si>
  <si>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</si>
  <si>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</si>
  <si>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</si>
  <si>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</si>
  <si>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</si>
  <si>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</si>
  <si>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</si>
  <si>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</si>
  <si>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</si>
  <si>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</si>
  <si>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</si>
  <si>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</si>
  <si>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</si>
  <si>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</si>
  <si>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</si>
  <si>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</si>
  <si>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</si>
  <si>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</si>
  <si>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</si>
  <si>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</si>
  <si>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</si>
  <si>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</si>
  <si>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</si>
  <si>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</si>
  <si>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</si>
  <si>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</si>
  <si>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</si>
  <si>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</si>
  <si>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</si>
  <si>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</si>
  <si>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</si>
  <si>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</si>
  <si>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</si>
  <si>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</si>
  <si>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</si>
  <si>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</si>
  <si>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</si>
  <si>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</si>
  <si>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</si>
  <si>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</si>
  <si>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</si>
  <si>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</si>
  <si>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</si>
  <si>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</si>
  <si>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</si>
  <si>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</si>
  <si>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</si>
  <si>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</si>
  <si>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</si>
  <si>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</si>
  <si>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</si>
  <si>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</si>
  <si>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</si>
  <si>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</si>
  <si>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</si>
  <si>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</si>
  <si>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</si>
  <si>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</si>
  <si>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</si>
  <si>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</si>
  <si>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</si>
  <si>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</si>
  <si>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</si>
  <si>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</si>
  <si>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</si>
  <si>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</si>
  <si>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</si>
  <si>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</si>
  <si>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</si>
  <si>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</si>
  <si>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</si>
  <si>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</si>
  <si>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</si>
  <si>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</si>
  <si>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</si>
  <si>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</si>
  <si>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</si>
  <si>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</si>
  <si>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</si>
  <si>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</si>
  <si>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</si>
  <si>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</si>
  <si>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</si>
  <si>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</si>
  <si>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</si>
  <si>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</si>
  <si>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</si>
  <si>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</si>
  <si>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</si>
  <si>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</si>
  <si>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</si>
  <si>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</si>
  <si>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</si>
  <si>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</si>
  <si>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</si>
  <si>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</si>
  <si>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</si>
  <si>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</si>
  <si>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</si>
  <si>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</si>
  <si>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</si>
  <si>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</si>
  <si>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</si>
  <si>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</si>
  <si>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</si>
  <si>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</si>
  <si>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</si>
  <si>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</si>
  <si>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</si>
  <si>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</si>
  <si>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</si>
  <si>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</si>
  <si>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</si>
  <si>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</si>
  <si>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</si>
  <si>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</si>
  <si>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</si>
  <si>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</si>
  <si>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</si>
  <si>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</si>
  <si>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</si>
  <si>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</si>
  <si>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</si>
  <si>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</si>
  <si>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</si>
  <si>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</si>
  <si>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</si>
  <si>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</si>
  <si>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</si>
  <si>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</si>
  <si>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</si>
  <si>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</si>
  <si>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</si>
  <si>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</si>
  <si>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</si>
  <si>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</si>
  <si>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</si>
  <si>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</si>
  <si>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</si>
  <si>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</si>
  <si>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</si>
  <si>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</si>
  <si>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</si>
  <si>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</si>
  <si>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</si>
  <si>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</si>
  <si>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</si>
  <si>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</si>
  <si>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</si>
  <si>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</si>
  <si>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</si>
  <si>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</si>
  <si>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</si>
  <si>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</si>
  <si>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</si>
  <si>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</si>
  <si>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</si>
  <si>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</si>
  <si>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</si>
  <si>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</si>
  <si>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</si>
  <si>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</si>
  <si>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</si>
  <si>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</si>
  <si>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</si>
  <si>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</si>
  <si>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</si>
  <si>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</si>
  <si>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</si>
  <si>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</si>
  <si>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</si>
  <si>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</si>
  <si>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</si>
  <si>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</si>
  <si>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</si>
  <si>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</si>
  <si>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</si>
  <si>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</si>
  <si>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</si>
  <si>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</si>
  <si>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</si>
  <si>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</si>
  <si>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</si>
  <si>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</si>
  <si>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</si>
  <si>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</si>
  <si>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</si>
  <si>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</si>
  <si>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</si>
  <si>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</si>
  <si>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</si>
  <si>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</si>
  <si>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</si>
  <si>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</si>
  <si>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</si>
  <si>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</si>
  <si>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</si>
  <si>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</si>
  <si>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</si>
  <si>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</si>
  <si>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</si>
  <si>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</si>
  <si>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</si>
  <si>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</si>
  <si>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</si>
  <si>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</si>
  <si>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</si>
  <si>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</si>
  <si>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</si>
  <si>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</si>
  <si>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</si>
  <si>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</si>
  <si>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</si>
  <si>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</si>
  <si>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</si>
  <si>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</si>
  <si>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</si>
  <si>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</si>
  <si>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</si>
  <si>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</si>
  <si>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</si>
  <si>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</si>
  <si>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</si>
  <si>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</si>
  <si>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</si>
  <si>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</si>
  <si>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</si>
  <si>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</si>
  <si>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</si>
  <si>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</si>
  <si>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</si>
  <si>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</si>
  <si>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</si>
  <si>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</si>
  <si>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</si>
  <si>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</si>
  <si>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</si>
  <si>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</si>
  <si>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</si>
  <si>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</si>
  <si>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</si>
  <si>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</si>
  <si>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</si>
  <si>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</si>
  <si>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</si>
  <si>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</si>
  <si>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</si>
  <si>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</si>
  <si>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</si>
  <si>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</si>
  <si>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</si>
  <si>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</si>
  <si>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</si>
  <si>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</si>
  <si>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</si>
  <si>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</si>
  <si>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</si>
  <si>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</si>
  <si>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</si>
  <si>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</si>
  <si>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</si>
  <si>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</si>
  <si>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</si>
  <si>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</si>
  <si>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</si>
  <si>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</si>
  <si>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</si>
  <si>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</si>
  <si>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</si>
  <si>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</si>
  <si>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</si>
  <si>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</si>
  <si>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</si>
  <si>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</si>
  <si>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</si>
  <si>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</si>
  <si>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</si>
  <si>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</si>
  <si>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</si>
  <si>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</si>
  <si>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</si>
  <si>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</si>
  <si>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</si>
  <si>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</si>
  <si>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</si>
  <si>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</si>
  <si>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</si>
  <si>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</si>
  <si>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</si>
  <si>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</si>
  <si>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</si>
  <si>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</si>
  <si>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</si>
  <si>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</si>
  <si>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</si>
  <si>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</si>
  <si>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</si>
  <si>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</si>
  <si>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</si>
  <si>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</si>
  <si>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</si>
  <si>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</si>
  <si>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</si>
  <si>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</si>
  <si>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</si>
  <si>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</si>
  <si>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</si>
  <si>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</si>
  <si>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</si>
  <si>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</si>
  <si>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</si>
  <si>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</si>
  <si>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</si>
  <si>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</si>
  <si>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</si>
  <si>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</si>
  <si>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</si>
  <si>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</si>
  <si>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</si>
  <si>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</si>
  <si>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</si>
  <si>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</si>
  <si>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</si>
  <si>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</si>
  <si>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</si>
  <si>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</si>
  <si>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</si>
  <si>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</si>
  <si>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</si>
  <si>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</si>
  <si>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</si>
  <si>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</si>
  <si>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</si>
  <si>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</si>
  <si>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</si>
  <si>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</si>
  <si>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</si>
  <si>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</si>
  <si>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</si>
  <si>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</si>
  <si>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</si>
  <si>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</si>
  <si>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</si>
  <si>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</si>
  <si>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</si>
  <si>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</si>
  <si>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</si>
  <si>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</si>
  <si>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</si>
  <si>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</si>
  <si>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</si>
  <si>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</si>
  <si>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</si>
  <si>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</si>
  <si>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</si>
  <si>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</si>
  <si>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</si>
  <si>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</si>
  <si>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</si>
  <si>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</si>
  <si>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</si>
  <si>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</si>
  <si>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</si>
  <si>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</si>
  <si>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</si>
  <si>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</si>
  <si>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</si>
  <si>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</si>
  <si>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</si>
  <si>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</si>
  <si>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</si>
  <si>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</si>
  <si>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</si>
  <si>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</si>
  <si>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</si>
  <si>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</si>
  <si>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</si>
  <si>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</si>
  <si>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</si>
  <si>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</si>
  <si>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</si>
  <si>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</si>
  <si>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</si>
  <si>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</si>
  <si>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</si>
  <si>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</si>
  <si>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</si>
  <si>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</si>
  <si>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</si>
  <si>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</si>
  <si>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</si>
  <si>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</si>
  <si>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</si>
  <si>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</si>
  <si>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</si>
  <si>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</si>
  <si>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</si>
  <si>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</si>
  <si>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</si>
  <si>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</si>
  <si>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</si>
  <si>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</si>
  <si>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</si>
  <si>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</si>
  <si>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</si>
  <si>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</si>
  <si>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</si>
  <si>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</si>
  <si>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</si>
  <si>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</si>
  <si>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</si>
  <si>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</si>
  <si>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</si>
  <si>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</si>
  <si>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</si>
  <si>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</si>
  <si>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</si>
  <si>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</si>
  <si>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</si>
  <si>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</si>
  <si>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</si>
  <si>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</si>
  <si>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</si>
  <si>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</si>
  <si>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</si>
  <si>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</si>
  <si>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</si>
  <si>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</si>
  <si>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</si>
  <si>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</si>
  <si>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</si>
  <si>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</si>
  <si>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</si>
  <si>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</si>
  <si>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</si>
  <si>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</si>
  <si>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</si>
  <si>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</si>
  <si>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</si>
  <si>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</si>
  <si>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</si>
  <si>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</si>
  <si>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</si>
  <si>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</si>
  <si>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</si>
  <si>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</si>
  <si>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</si>
  <si>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</si>
  <si>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</si>
  <si>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</si>
  <si>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</si>
  <si>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</si>
  <si>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</si>
  <si>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</si>
  <si>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</si>
  <si>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</si>
  <si>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</si>
  <si>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</si>
  <si>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</si>
  <si>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</si>
  <si>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</si>
  <si>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</si>
  <si>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</si>
  <si>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</si>
  <si>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</si>
  <si>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</si>
  <si>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</si>
  <si>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</si>
  <si>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</si>
  <si>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</si>
  <si>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</si>
  <si>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</si>
  <si>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</si>
  <si>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</si>
  <si>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</si>
  <si>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</si>
  <si>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</si>
  <si>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</si>
  <si>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</si>
  <si>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</si>
  <si>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</si>
  <si>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</si>
  <si>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</si>
  <si>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</si>
  <si>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</si>
  <si>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</si>
  <si>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</si>
  <si>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</si>
  <si>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</si>
  <si>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</si>
  <si>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</si>
  <si>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</si>
  <si>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</si>
  <si>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</si>
  <si>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</si>
  <si>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</si>
  <si>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</si>
  <si>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</si>
  <si>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</si>
  <si>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</si>
  <si>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</si>
  <si>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</si>
  <si>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</si>
  <si>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</si>
  <si>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</si>
  <si>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</si>
  <si>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</si>
  <si>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</si>
  <si>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</si>
  <si>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</si>
  <si>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</si>
  <si>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</si>
  <si>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</si>
  <si>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</si>
  <si>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</si>
  <si>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</si>
  <si>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</si>
  <si>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</si>
  <si>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</si>
  <si>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</si>
  <si>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</si>
  <si>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</si>
  <si>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</si>
  <si>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</si>
  <si>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</si>
  <si>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</si>
  <si>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</si>
  <si>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</si>
  <si>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</si>
  <si>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</si>
  <si>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</si>
  <si>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</si>
  <si>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</si>
  <si>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</si>
  <si>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</si>
  <si>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</si>
  <si>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</si>
  <si>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</si>
  <si>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</si>
  <si>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</si>
  <si>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</si>
  <si>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</si>
  <si>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</si>
  <si>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</si>
  <si>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</si>
  <si>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</si>
  <si>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</si>
  <si>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</si>
  <si>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</si>
  <si>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</si>
  <si>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</si>
  <si>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</si>
  <si>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</si>
  <si>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</si>
  <si>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</si>
  <si>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</si>
  <si>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</si>
  <si>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</si>
  <si>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</si>
  <si>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</si>
  <si>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</si>
  <si>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</si>
  <si>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</si>
  <si>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</si>
  <si>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</si>
  <si>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</si>
  <si>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</si>
  <si>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</si>
  <si>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</si>
  <si>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</si>
  <si>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</si>
  <si>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</si>
  <si>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</si>
  <si>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</si>
  <si>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</si>
  <si>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</si>
  <si>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</si>
  <si>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</si>
  <si>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</si>
  <si>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</si>
  <si>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</si>
  <si>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</si>
  <si>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</si>
  <si>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</si>
  <si>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</si>
  <si>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</si>
  <si>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</si>
  <si>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</si>
  <si>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</si>
  <si>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</si>
  <si>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</si>
  <si>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</si>
  <si>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</si>
  <si>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</si>
  <si>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</si>
  <si>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</si>
  <si>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</si>
  <si>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</si>
  <si>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</si>
  <si>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</si>
  <si>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</si>
  <si>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</si>
  <si>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</si>
  <si>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</si>
  <si>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</si>
  <si>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</si>
  <si>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</si>
  <si>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</si>
  <si>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</si>
  <si>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</si>
  <si>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</si>
  <si>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</si>
  <si>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</si>
  <si>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</si>
  <si>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</si>
  <si>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</si>
  <si>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</si>
  <si>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</si>
  <si>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</si>
  <si>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</si>
  <si>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</si>
  <si>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</si>
  <si>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</si>
  <si>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</si>
  <si>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</si>
  <si>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</si>
  <si>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</si>
  <si>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</si>
  <si>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</si>
  <si>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</si>
  <si>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</si>
  <si>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</si>
  <si>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</si>
  <si>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</si>
  <si>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</si>
  <si>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</si>
  <si>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</si>
  <si>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</si>
  <si>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</si>
  <si>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</si>
  <si>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</si>
  <si>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</si>
  <si>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</si>
  <si>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</si>
  <si>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</si>
  <si>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</si>
  <si>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</si>
  <si>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</si>
  <si>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</si>
  <si>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</si>
  <si>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</si>
  <si>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</si>
  <si>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</si>
  <si>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</si>
  <si>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</si>
  <si>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</si>
  <si>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</si>
  <si>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</si>
  <si>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</si>
  <si>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</si>
  <si>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</si>
  <si>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</si>
  <si>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</si>
  <si>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</si>
  <si>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</si>
  <si>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</si>
  <si>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</si>
  <si>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</si>
  <si>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</si>
  <si>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</si>
  <si>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</si>
  <si>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</si>
  <si>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</si>
  <si>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</si>
  <si>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</si>
  <si>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</si>
  <si>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</si>
  <si>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</si>
  <si>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</si>
  <si>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</si>
  <si>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</si>
  <si>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</si>
  <si>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</si>
  <si>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</si>
  <si>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</si>
  <si>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</si>
  <si>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</si>
  <si>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</si>
  <si>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</si>
  <si>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</si>
  <si>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</si>
  <si>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</si>
  <si>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</si>
  <si>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</si>
  <si>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</si>
  <si>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</si>
  <si>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</si>
  <si>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</si>
  <si>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</si>
  <si>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</si>
  <si>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</si>
  <si>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</si>
  <si>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</si>
  <si>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</si>
  <si>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</si>
  <si>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</si>
  <si>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</si>
  <si>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</si>
  <si>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</si>
  <si>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</si>
  <si>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</si>
  <si>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</si>
  <si>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</si>
  <si>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</si>
  <si>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</si>
  <si>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</si>
  <si>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</si>
  <si>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</si>
  <si>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</si>
  <si>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</si>
  <si>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</si>
  <si>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</si>
  <si>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</si>
  <si>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</si>
  <si>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</si>
  <si>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</si>
  <si>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</si>
  <si>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</si>
  <si>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</si>
  <si>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</si>
  <si>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</si>
  <si>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</si>
  <si>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</si>
  <si>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</si>
  <si>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</si>
  <si>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</si>
  <si>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</si>
  <si>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</si>
  <si>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</si>
  <si>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</si>
  <si>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</si>
  <si>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</si>
  <si>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</si>
  <si>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</si>
  <si>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</si>
  <si>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</si>
  <si>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</si>
  <si>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</si>
  <si>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</si>
  <si>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</si>
  <si>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</si>
  <si>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</si>
  <si>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</si>
  <si>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</si>
  <si>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</si>
  <si>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</si>
  <si>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</si>
  <si>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</si>
  <si>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</si>
  <si>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</si>
  <si>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</si>
  <si>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</si>
  <si>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</si>
  <si>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</si>
  <si>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</si>
  <si>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</si>
  <si>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</si>
  <si>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</si>
  <si>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</si>
  <si>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</si>
  <si>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</si>
  <si>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</si>
  <si>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</si>
  <si>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</si>
  <si>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</si>
  <si>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</si>
  <si>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</si>
  <si>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</si>
  <si>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</si>
  <si>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</si>
  <si>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</si>
  <si>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</si>
  <si>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</si>
  <si>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</si>
  <si>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</si>
  <si>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</si>
  <si>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</si>
  <si>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</si>
  <si>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</si>
  <si>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</si>
  <si>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</si>
  <si>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</si>
  <si>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</si>
  <si>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</si>
  <si>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</si>
  <si>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</si>
  <si>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</si>
  <si>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</si>
  <si>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</si>
  <si>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</si>
  <si>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</si>
  <si>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</si>
  <si>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</si>
  <si>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</si>
  <si>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</si>
  <si>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</si>
  <si>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</si>
  <si>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</si>
  <si>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</si>
  <si>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</si>
  <si>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</si>
  <si>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</si>
  <si>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</si>
  <si>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</si>
  <si>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</si>
  <si>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</si>
  <si>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</si>
  <si>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</si>
  <si>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</si>
  <si>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</si>
  <si>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</si>
  <si>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</si>
  <si>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</si>
  <si>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</si>
  <si>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</si>
  <si>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</si>
  <si>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</si>
  <si>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</si>
  <si>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</si>
  <si>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</si>
  <si>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</si>
  <si>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</si>
  <si>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</si>
  <si>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</si>
  <si>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</si>
  <si>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</si>
  <si>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</si>
  <si>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</si>
  <si>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</si>
  <si>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</si>
  <si>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</si>
  <si>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</si>
  <si>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</si>
  <si>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</si>
  <si>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</si>
  <si>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</si>
  <si>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</si>
  <si>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</si>
  <si>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</si>
  <si>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</si>
  <si>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</si>
  <si>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</si>
  <si>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</si>
  <si>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</si>
  <si>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</si>
  <si>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</si>
  <si>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</si>
  <si>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</si>
  <si>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</si>
  <si>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</si>
  <si>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</si>
  <si>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</si>
  <si>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</si>
  <si>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</si>
  <si>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</si>
  <si>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</si>
  <si>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</si>
  <si>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</si>
  <si>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</si>
  <si>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</si>
  <si>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</si>
  <si>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</si>
  <si>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</si>
  <si>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</si>
  <si>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</si>
  <si>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</si>
  <si>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</si>
  <si>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</si>
  <si>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</si>
  <si>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</si>
  <si>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</si>
  <si>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</si>
  <si>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</si>
  <si>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</si>
  <si>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</si>
  <si>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</si>
  <si>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</si>
  <si>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</si>
  <si>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</si>
  <si>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</si>
  <si>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</si>
  <si>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</si>
  <si>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</si>
  <si>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</si>
  <si>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</si>
  <si>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</si>
  <si>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</si>
  <si>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</si>
  <si>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</si>
  <si>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</si>
  <si>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</si>
  <si>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</si>
  <si>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</si>
  <si>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</si>
  <si>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</si>
  <si>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</si>
  <si>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</si>
  <si>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</si>
  <si>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</si>
  <si>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</si>
  <si>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</si>
  <si>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</si>
  <si>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</si>
  <si>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</si>
  <si>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</si>
  <si>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</si>
  <si>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</si>
  <si>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</si>
  <si>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</si>
  <si>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</si>
  <si>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</si>
  <si>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</si>
  <si>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</si>
  <si>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</si>
  <si>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</si>
  <si>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</si>
  <si>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</si>
  <si>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</si>
  <si>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</si>
  <si>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</si>
  <si>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</si>
  <si>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</si>
  <si>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</si>
  <si>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</si>
  <si>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</si>
  <si>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</si>
  <si>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</si>
  <si>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</si>
  <si>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</si>
  <si>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</si>
  <si>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</si>
  <si>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</si>
  <si>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</si>
  <si>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</si>
  <si>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</si>
  <si>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</si>
  <si>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</si>
  <si>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</si>
  <si>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</si>
  <si>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</si>
  <si>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</si>
  <si>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</si>
  <si>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</si>
  <si>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</si>
  <si>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</si>
  <si>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</si>
  <si>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</si>
  <si>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</si>
  <si>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</si>
  <si>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</si>
  <si>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</si>
  <si>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</si>
  <si>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</si>
  <si>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</si>
  <si>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</si>
  <si>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</si>
  <si>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</si>
  <si>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</si>
  <si>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</si>
  <si>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</si>
  <si>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</si>
  <si>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</si>
  <si>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</si>
  <si>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</si>
  <si>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</si>
  <si>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</si>
  <si>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</si>
  <si>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</si>
  <si>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</si>
  <si>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</si>
  <si>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</si>
  <si>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</si>
  <si>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</si>
  <si>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</si>
  <si>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</si>
  <si>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</si>
  <si>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</si>
  <si>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</si>
  <si>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</si>
  <si>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</si>
  <si>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</si>
  <si>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</si>
  <si>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</si>
  <si>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</si>
  <si>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</si>
  <si>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</si>
  <si>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</si>
  <si>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</si>
  <si>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</si>
  <si>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</si>
  <si>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</si>
  <si>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</si>
  <si>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</si>
  <si>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</si>
  <si>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</si>
  <si>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</si>
  <si>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</si>
  <si>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</si>
  <si>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</si>
  <si>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</si>
  <si>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</si>
  <si>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</si>
  <si>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</si>
  <si>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</si>
  <si>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</si>
  <si>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</si>
  <si>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</si>
  <si>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</si>
  <si>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</si>
  <si>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</si>
  <si>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</si>
  <si>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</si>
  <si>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</si>
  <si>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</si>
  <si>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</si>
  <si>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</si>
  <si>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</si>
  <si>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</si>
  <si>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</si>
  <si>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</si>
  <si>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</si>
  <si>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</si>
  <si>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</si>
  <si>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</si>
  <si>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</si>
  <si>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</si>
  <si>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</si>
  <si>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</si>
  <si>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</si>
  <si>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</si>
  <si>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</si>
  <si>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</si>
  <si>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</si>
  <si>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</si>
  <si>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</si>
  <si>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</si>
  <si>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</si>
  <si>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</si>
  <si>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</si>
  <si>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</si>
  <si>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</si>
  <si>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</si>
  <si>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</si>
  <si>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</si>
  <si>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</si>
  <si>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</si>
  <si>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</si>
  <si>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</si>
  <si>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</si>
  <si>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</si>
  <si>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</si>
  <si>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</si>
  <si>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</si>
  <si>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</si>
  <si>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</si>
  <si>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</si>
  <si>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</si>
  <si>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</si>
  <si>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</si>
  <si>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</si>
  <si>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</si>
  <si>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</si>
  <si>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</si>
  <si>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</si>
  <si>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</si>
  <si>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</si>
  <si>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</si>
  <si>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</si>
  <si>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</si>
  <si>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</si>
  <si>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</si>
  <si>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</si>
  <si>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</si>
  <si>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</si>
  <si>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</si>
  <si>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</si>
  <si>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</si>
  <si>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</si>
  <si>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</si>
  <si>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</si>
  <si>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</si>
  <si>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</si>
  <si>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</si>
  <si>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</si>
  <si>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</si>
  <si>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</si>
  <si>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</si>
  <si>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</si>
  <si>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</si>
  <si>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</si>
  <si>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</si>
  <si>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</si>
  <si>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</si>
  <si>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</si>
  <si>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</si>
  <si>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</si>
  <si>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</si>
  <si>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</si>
  <si>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</si>
  <si>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</si>
  <si>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</si>
  <si>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</si>
  <si>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</si>
  <si>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</si>
  <si>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</si>
  <si>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</si>
  <si>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</si>
  <si>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</si>
  <si>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</si>
  <si>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</si>
  <si>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</si>
  <si>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</si>
  <si>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</si>
  <si>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</si>
  <si>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</si>
  <si>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</si>
  <si>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</si>
  <si>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</si>
  <si>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</si>
  <si>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</si>
  <si>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</si>
  <si>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</si>
  <si>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</si>
  <si>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</si>
  <si>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</si>
  <si>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</si>
  <si>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</si>
  <si>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</si>
  <si>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</si>
  <si>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</si>
  <si>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</si>
  <si>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</si>
  <si>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</si>
  <si>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</si>
  <si>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</si>
  <si>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</si>
  <si>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</si>
  <si>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</si>
  <si>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</si>
  <si>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</si>
  <si>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</si>
  <si>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</si>
  <si>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</si>
  <si>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</si>
  <si>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</si>
  <si>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</si>
  <si>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</si>
  <si>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</si>
  <si>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</si>
  <si>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</si>
  <si>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</si>
  <si>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</si>
  <si>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</si>
  <si>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</si>
  <si>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</si>
  <si>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</si>
  <si>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</si>
  <si>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</si>
  <si>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</si>
  <si>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</si>
  <si>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</si>
  <si>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</si>
  <si>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</si>
  <si>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</si>
  <si>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</si>
  <si>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</si>
  <si>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</si>
  <si>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</si>
  <si>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</si>
  <si>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</si>
  <si>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</si>
  <si>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</si>
  <si>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</si>
  <si>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</si>
  <si>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</si>
  <si>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</si>
  <si>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</si>
  <si>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</si>
  <si>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</si>
  <si>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</si>
  <si>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</si>
  <si>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</si>
  <si>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</si>
  <si>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</si>
  <si>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</si>
  <si>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</si>
  <si>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</si>
  <si>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</si>
  <si>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</si>
  <si>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</si>
  <si>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</si>
  <si>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</si>
  <si>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</si>
  <si>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</si>
  <si>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</si>
  <si>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</si>
  <si>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</si>
  <si>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</si>
  <si>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</si>
  <si>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</si>
  <si>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</si>
  <si>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</si>
  <si>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</si>
  <si>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</si>
  <si>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</si>
  <si>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</si>
  <si>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</si>
  <si>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</si>
  <si>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</si>
  <si>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</si>
  <si>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</si>
  <si>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</si>
  <si>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</si>
  <si>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</si>
  <si>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</si>
  <si>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</si>
  <si>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</si>
  <si>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</si>
  <si>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</si>
  <si>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</si>
  <si>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</si>
  <si>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</si>
  <si>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</si>
  <si>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</si>
  <si>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</si>
  <si>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</si>
  <si>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</si>
  <si>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</si>
  <si>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</si>
  <si>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</si>
  <si>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</si>
  <si>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</si>
  <si>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</si>
  <si>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</si>
  <si>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</si>
  <si>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</si>
  <si>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</si>
  <si>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</si>
  <si>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</si>
  <si>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</si>
  <si>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</si>
  <si>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</si>
  <si>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</si>
  <si>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</si>
  <si>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</si>
  <si>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</si>
  <si>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</si>
  <si>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</si>
  <si>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</si>
  <si>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</si>
  <si>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</si>
  <si>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</si>
  <si>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</si>
  <si>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</si>
  <si>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</si>
  <si>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</si>
  <si>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</si>
  <si>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</si>
  <si>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</si>
  <si>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</si>
  <si>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</si>
  <si>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</si>
  <si>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</si>
  <si>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</si>
  <si>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</si>
  <si>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</si>
  <si>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</si>
  <si>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</si>
  <si>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</si>
  <si>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</si>
  <si>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</si>
  <si>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</si>
  <si>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</si>
  <si>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</si>
  <si>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</si>
  <si>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</si>
  <si>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</si>
  <si>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</si>
  <si>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</si>
  <si>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</si>
  <si>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</si>
  <si>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</si>
  <si>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</si>
  <si>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</si>
  <si>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</si>
  <si>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</si>
  <si>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</si>
  <si>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</si>
  <si>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</si>
  <si>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</si>
  <si>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</si>
  <si>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</si>
  <si>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</si>
  <si>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</si>
  <si>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</si>
  <si>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</si>
  <si>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</si>
  <si>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</si>
  <si>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</si>
  <si>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</si>
  <si>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</si>
  <si>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</si>
  <si>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</si>
  <si>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</si>
  <si>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</si>
  <si>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</si>
  <si>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</si>
  <si>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</si>
  <si>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</si>
  <si>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</si>
  <si>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</si>
  <si>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</si>
  <si>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</si>
  <si>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</si>
  <si>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</si>
  <si>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</si>
  <si>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</si>
  <si>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</si>
  <si>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</si>
  <si>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</si>
  <si>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</si>
  <si>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</si>
  <si>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</si>
  <si>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</si>
  <si>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</si>
  <si>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</si>
  <si>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</si>
  <si>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</si>
  <si>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</si>
  <si>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</si>
  <si>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</si>
  <si>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</si>
  <si>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</si>
  <si>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</si>
  <si>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</si>
  <si>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</si>
  <si>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</si>
  <si>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</si>
  <si>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</si>
  <si>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</si>
  <si>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</si>
  <si>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</si>
  <si>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</si>
  <si>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</si>
  <si>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</si>
  <si>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</si>
  <si>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</si>
  <si>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</si>
  <si>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</si>
  <si>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</si>
  <si>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</si>
  <si>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</si>
  <si>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</si>
  <si>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</si>
  <si>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</si>
  <si>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</si>
  <si>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</si>
  <si>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</si>
  <si>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</si>
  <si>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</si>
  <si>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</si>
  <si>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</si>
  <si>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</si>
  <si>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</si>
  <si>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</si>
  <si>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</si>
  <si>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</si>
  <si>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</si>
  <si>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</si>
  <si>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</si>
  <si>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</si>
  <si>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</si>
  <si>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</si>
  <si>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</si>
  <si>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</si>
  <si>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</si>
  <si>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</si>
  <si>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</si>
  <si>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</si>
  <si>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</si>
  <si>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</si>
  <si>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</si>
  <si>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</si>
  <si>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</si>
  <si>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</si>
  <si>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</si>
  <si>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</si>
  <si>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</si>
  <si>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</si>
  <si>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</si>
  <si>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</si>
  <si>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</si>
  <si>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</si>
  <si>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</si>
  <si>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</si>
  <si>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</si>
  <si>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</si>
  <si>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</si>
  <si>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</si>
  <si>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</si>
  <si>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</si>
  <si>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</si>
  <si>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</si>
  <si>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</si>
  <si>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</si>
  <si>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</si>
  <si>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</si>
  <si>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</si>
  <si>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</si>
  <si>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</si>
  <si>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</si>
  <si>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</si>
  <si>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</si>
  <si>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</si>
  <si>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</si>
  <si>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</si>
  <si>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</si>
  <si>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</si>
  <si>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</si>
  <si>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</si>
  <si>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</si>
  <si>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</si>
  <si>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</si>
  <si>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</si>
  <si>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</si>
  <si>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</si>
  <si>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</si>
  <si>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</si>
  <si>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</si>
  <si>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</si>
  <si>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</si>
  <si>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</si>
  <si>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</si>
  <si>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</si>
  <si>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</si>
  <si>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</si>
  <si>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</si>
  <si>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</si>
  <si>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</si>
  <si>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</si>
  <si>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</si>
  <si>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</si>
  <si>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</si>
  <si>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</si>
  <si>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</si>
  <si>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</si>
  <si>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</si>
  <si>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</si>
  <si>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</si>
  <si>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</si>
  <si>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</si>
  <si>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</si>
  <si>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</si>
  <si>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</si>
  <si>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</si>
  <si>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</si>
  <si>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</si>
  <si>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</si>
  <si>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</si>
  <si>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</si>
  <si>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</si>
  <si>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</si>
  <si>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</si>
  <si>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</si>
  <si>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</si>
  <si>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</si>
  <si>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</si>
  <si>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</si>
  <si>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</si>
  <si>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</si>
  <si>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</si>
  <si>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</si>
  <si>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</si>
  <si>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</si>
  <si>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</si>
  <si>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</si>
  <si>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</si>
  <si>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</si>
  <si>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</si>
  <si>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</si>
  <si>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</si>
  <si>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</si>
  <si>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</si>
  <si>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</si>
  <si>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</si>
  <si>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</si>
  <si>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</si>
  <si>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</si>
  <si>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</si>
  <si>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</si>
  <si>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</si>
  <si>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</si>
  <si>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</si>
  <si>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</si>
  <si>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</si>
  <si>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</si>
  <si>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</si>
  <si>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</si>
  <si>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</si>
  <si>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</si>
  <si>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</si>
  <si>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</si>
  <si>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</si>
  <si>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</si>
  <si>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</si>
  <si>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</si>
  <si>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</si>
  <si>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</si>
  <si>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</si>
  <si>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</si>
  <si>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</si>
  <si>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</si>
  <si>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</si>
  <si>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</si>
  <si>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</si>
  <si>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</si>
  <si>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</si>
  <si>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</si>
  <si>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</si>
  <si>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</si>
  <si>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</si>
  <si>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</si>
  <si>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</si>
  <si>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</si>
  <si>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</si>
  <si>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</si>
  <si>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</si>
  <si>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</si>
  <si>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</si>
  <si>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</si>
  <si>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</si>
  <si>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</si>
  <si>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</si>
  <si>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</si>
  <si>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</si>
  <si>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</si>
  <si>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</si>
  <si>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</si>
  <si>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</si>
  <si>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</si>
  <si>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</si>
  <si>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</si>
  <si>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</si>
  <si>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</si>
  <si>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</si>
  <si>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</si>
  <si>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</si>
  <si>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</si>
  <si>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</si>
  <si>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</si>
  <si>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</si>
  <si>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</si>
  <si>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</si>
  <si>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</si>
  <si>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</si>
  <si>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</si>
  <si>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</si>
  <si>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</si>
  <si>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</si>
  <si>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</si>
  <si>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</si>
  <si>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</si>
  <si>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</si>
  <si>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</si>
  <si>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</si>
  <si>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</si>
  <si>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</si>
  <si>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</si>
  <si>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</si>
  <si>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</si>
  <si>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</si>
  <si>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</si>
  <si>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</si>
  <si>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</si>
  <si>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</si>
  <si>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</si>
  <si>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</si>
  <si>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</si>
  <si>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</si>
  <si>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</si>
  <si>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</si>
  <si>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</si>
  <si>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</si>
  <si>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</si>
  <si>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</si>
  <si>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</si>
  <si>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</si>
  <si>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</si>
  <si>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</si>
  <si>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</si>
  <si>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</si>
  <si>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</si>
  <si>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</si>
  <si>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</si>
  <si>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</si>
  <si>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</si>
  <si>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</si>
  <si>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</si>
  <si>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</si>
  <si>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</si>
  <si>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</si>
  <si>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</si>
  <si>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</si>
  <si>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</si>
  <si>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</si>
  <si>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</si>
  <si>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</si>
  <si>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</si>
  <si>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</si>
  <si>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</si>
  <si>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</si>
  <si>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</si>
  <si>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</si>
  <si>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</si>
  <si>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</si>
  <si>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</si>
  <si>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</si>
  <si>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</si>
  <si>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</si>
  <si>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</si>
  <si>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</si>
  <si>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</si>
  <si>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</si>
  <si>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</si>
  <si>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</si>
  <si>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</si>
  <si>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</si>
  <si>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</si>
  <si>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</si>
  <si>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</si>
  <si>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</si>
  <si>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</si>
  <si>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</si>
  <si>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</si>
  <si>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</si>
  <si>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</si>
  <si>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</si>
  <si>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</si>
  <si>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</si>
  <si>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</si>
  <si>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</si>
  <si>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</si>
  <si>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</si>
  <si>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</si>
  <si>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</si>
  <si>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</si>
  <si>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</si>
  <si>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</si>
  <si>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</si>
  <si>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</si>
  <si>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</si>
  <si>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</si>
  <si>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</si>
  <si>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</si>
  <si>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</si>
  <si>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</si>
  <si>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</si>
  <si>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</si>
  <si>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</si>
  <si>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</si>
  <si>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</si>
  <si>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</si>
  <si>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</si>
  <si>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</si>
  <si>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</si>
  <si>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</si>
  <si>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</si>
  <si>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</si>
  <si>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</si>
  <si>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</si>
  <si>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</si>
  <si>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</si>
  <si>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</si>
  <si>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</si>
  <si>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</si>
  <si>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</si>
  <si>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</si>
  <si>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</si>
  <si>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</si>
  <si>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</si>
  <si>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</si>
  <si>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</si>
  <si>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</si>
  <si>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</si>
  <si>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</si>
  <si>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</si>
  <si>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</si>
  <si>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</si>
  <si>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</si>
  <si>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</si>
  <si>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</si>
  <si>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</si>
  <si>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</si>
  <si>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</si>
  <si>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</si>
  <si>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</si>
  <si>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</si>
  <si>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</si>
  <si>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</si>
  <si>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</si>
  <si>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</si>
  <si>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</si>
  <si>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</si>
  <si>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</si>
  <si>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</si>
  <si>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</si>
  <si>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</si>
  <si>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</si>
  <si>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</si>
  <si>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</si>
  <si>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</si>
  <si>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</si>
  <si>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</si>
  <si>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</si>
  <si>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</si>
  <si>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</si>
  <si>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</si>
  <si>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</si>
  <si>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</si>
  <si>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</si>
  <si>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</si>
  <si>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</si>
  <si>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</si>
  <si>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</si>
  <si>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</si>
  <si>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</si>
  <si>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</si>
  <si>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</si>
  <si>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</si>
  <si>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</si>
  <si>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</si>
  <si>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</si>
  <si>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</si>
  <si>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</si>
  <si>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</si>
  <si>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</si>
  <si>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</si>
  <si>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</si>
  <si>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</si>
  <si>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</si>
  <si>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</si>
  <si>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</si>
  <si>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</si>
  <si>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</si>
  <si>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</si>
  <si>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</si>
  <si>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</si>
  <si>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</si>
  <si>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</si>
  <si>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</si>
  <si>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</si>
  <si>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</si>
  <si>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</si>
  <si>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</si>
  <si>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</si>
  <si>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</si>
  <si>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</si>
  <si>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</si>
  <si>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</si>
  <si>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</si>
  <si>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</si>
  <si>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</si>
  <si>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</si>
  <si>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</si>
  <si>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</si>
  <si>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</si>
  <si>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</si>
  <si>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</si>
  <si>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</si>
  <si>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</si>
  <si>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</si>
  <si>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</si>
  <si>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</si>
  <si>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</si>
  <si>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</si>
  <si>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</si>
  <si>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</si>
  <si>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</si>
  <si>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</si>
  <si>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</si>
  <si>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</si>
  <si>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</si>
  <si>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</si>
  <si>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</si>
  <si>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</si>
  <si>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</si>
  <si>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</si>
  <si>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</si>
  <si>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</si>
  <si>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</si>
  <si>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</si>
  <si>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</si>
  <si>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</si>
  <si>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</si>
  <si>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</si>
  <si>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</si>
  <si>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</si>
  <si>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</si>
  <si>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</si>
  <si>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</si>
  <si>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</si>
  <si>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</si>
  <si>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</si>
  <si>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</si>
  <si>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</si>
  <si>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</si>
  <si>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</si>
  <si>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</si>
  <si>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</si>
  <si>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</si>
  <si>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</si>
  <si>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</si>
  <si>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</si>
  <si>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</si>
  <si>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</si>
  <si>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</si>
  <si>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</si>
  <si>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</si>
  <si>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</si>
  <si>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</si>
  <si>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</si>
  <si>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</si>
  <si>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</si>
  <si>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</si>
  <si>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</si>
  <si>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</si>
  <si>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</si>
  <si>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</si>
  <si>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</si>
  <si>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</si>
  <si>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</si>
  <si>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</si>
  <si>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</si>
  <si>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</si>
  <si>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</si>
  <si>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</si>
  <si>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</si>
  <si>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</si>
  <si>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</si>
  <si>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</si>
  <si>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</si>
  <si>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</si>
  <si>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</si>
  <si>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</si>
  <si>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</si>
  <si>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</si>
  <si>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</si>
  <si>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</si>
  <si>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</si>
  <si>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</si>
  <si>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</si>
  <si>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</si>
  <si>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</si>
  <si>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</si>
  <si>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</si>
  <si>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</si>
  <si>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</si>
  <si>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</si>
  <si>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</si>
  <si>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</si>
  <si>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</si>
  <si>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</si>
  <si>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</si>
  <si>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</si>
  <si>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</si>
  <si>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</si>
  <si>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</si>
  <si>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</si>
  <si>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</si>
  <si>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</si>
  <si>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</si>
  <si>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</si>
  <si>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</si>
  <si>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</si>
  <si>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</si>
  <si>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</si>
  <si>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</si>
  <si>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</si>
  <si>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</si>
  <si>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</si>
  <si>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</si>
  <si>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</si>
  <si>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</si>
  <si>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</si>
  <si>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</si>
  <si>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</si>
  <si>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</si>
  <si>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</si>
  <si>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</si>
  <si>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</si>
  <si>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</si>
  <si>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</si>
  <si>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</si>
  <si>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</si>
  <si>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</si>
  <si>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</si>
  <si>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</si>
  <si>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</si>
  <si>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</si>
  <si>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</si>
  <si>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</si>
  <si>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</si>
  <si>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</si>
  <si>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</si>
  <si>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</si>
  <si>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</si>
  <si>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</si>
  <si>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</si>
  <si>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</si>
  <si>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</si>
  <si>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</si>
  <si>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</si>
  <si>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</si>
  <si>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</si>
  <si>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</si>
  <si>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</si>
  <si>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</si>
  <si>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</si>
  <si>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</si>
  <si>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</si>
  <si>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</si>
  <si>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</si>
  <si>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</si>
  <si>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</si>
  <si>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</si>
  <si>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</si>
  <si>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</si>
  <si>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</si>
  <si>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</si>
  <si>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</si>
  <si>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</si>
  <si>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</si>
  <si>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</si>
  <si>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</si>
  <si>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</si>
  <si>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</si>
  <si>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</si>
  <si>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</si>
  <si>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</si>
  <si>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</si>
  <si>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</si>
  <si>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</si>
  <si>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</si>
  <si>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</si>
  <si>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</si>
  <si>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</si>
  <si>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</si>
  <si>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</si>
  <si>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</si>
  <si>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</si>
  <si>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</si>
  <si>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</si>
  <si>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</si>
  <si>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</si>
  <si>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</si>
  <si>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</si>
  <si>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</si>
  <si>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</si>
  <si>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</si>
  <si>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</si>
  <si>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</si>
  <si>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</si>
  <si>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</si>
  <si>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</si>
  <si>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</si>
  <si>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</si>
  <si>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</si>
  <si>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</si>
  <si>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</si>
  <si>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</si>
  <si>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</si>
  <si>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</si>
  <si>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</si>
  <si>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</si>
  <si>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</si>
  <si>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</si>
  <si>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</si>
  <si>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</si>
  <si>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</si>
  <si>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</si>
  <si>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</si>
  <si>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</si>
  <si>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</si>
  <si>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</si>
  <si>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</si>
  <si>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</si>
  <si>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</si>
  <si>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</si>
  <si>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</si>
  <si>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</si>
  <si>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</si>
  <si>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</si>
  <si>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</si>
  <si>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</si>
  <si>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</si>
  <si>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</si>
  <si>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</si>
  <si>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</si>
  <si>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</si>
  <si>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</si>
  <si>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</si>
  <si>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</si>
  <si>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</si>
  <si>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</si>
  <si>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</si>
  <si>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</si>
  <si>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</si>
  <si>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</si>
  <si>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</si>
  <si>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</si>
  <si>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</si>
  <si>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</si>
  <si>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</si>
  <si>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</si>
  <si>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</si>
  <si>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</si>
  <si>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</si>
  <si>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</si>
  <si>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</si>
  <si>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</si>
  <si>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</si>
  <si>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</si>
  <si>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</si>
  <si>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</si>
  <si>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</si>
  <si>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</si>
  <si>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</si>
  <si>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</si>
  <si>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</si>
  <si>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</si>
  <si>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</si>
  <si>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</si>
  <si>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</si>
  <si>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</si>
  <si>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</si>
  <si>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</si>
  <si>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</si>
  <si>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</si>
  <si>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</si>
  <si>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</si>
  <si>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</si>
  <si>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</si>
  <si>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</si>
  <si>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</si>
  <si>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</si>
  <si>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</si>
  <si>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</si>
  <si>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</si>
  <si>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</si>
  <si>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</si>
  <si>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</si>
  <si>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</si>
  <si>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</si>
  <si>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</si>
  <si>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</si>
  <si>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</si>
  <si>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</si>
  <si>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</si>
  <si>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</si>
  <si>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</si>
  <si>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</si>
  <si>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</si>
  <si>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</si>
  <si>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</si>
  <si>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</si>
  <si>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</si>
  <si>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</si>
  <si>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</si>
  <si>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</si>
  <si>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</si>
  <si>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</si>
  <si>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</si>
  <si>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</si>
  <si>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</si>
  <si>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</si>
  <si>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</si>
  <si>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</si>
  <si>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</si>
  <si>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</si>
  <si>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</si>
  <si>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</si>
  <si>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</si>
  <si>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</si>
  <si>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</si>
  <si>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</si>
  <si>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</si>
  <si>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</si>
  <si>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</si>
  <si>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</si>
  <si>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</si>
  <si>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</si>
  <si>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</si>
  <si>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</si>
  <si>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</si>
  <si>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</si>
  <si>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</si>
  <si>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</si>
  <si>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</si>
  <si>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</si>
  <si>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</si>
  <si>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</si>
  <si>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</si>
  <si>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</si>
  <si>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</si>
  <si>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</si>
  <si>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</si>
  <si>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</si>
  <si>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</si>
  <si>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</si>
  <si>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</si>
  <si>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</si>
  <si>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</si>
  <si>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</si>
  <si>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</si>
  <si>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</si>
  <si>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</si>
  <si>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</si>
  <si>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</si>
  <si>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</si>
  <si>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</si>
  <si>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</si>
  <si>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</si>
  <si>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</si>
  <si>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</si>
  <si>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</si>
  <si>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</si>
  <si>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</si>
  <si>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</si>
  <si>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</si>
  <si>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</si>
  <si>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</si>
  <si>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</si>
  <si>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</si>
  <si>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</si>
  <si>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</si>
  <si>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</si>
  <si>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</si>
  <si>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</si>
  <si>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</si>
  <si>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</si>
  <si>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</si>
  <si>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</si>
  <si>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</si>
  <si>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</si>
  <si>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</si>
  <si>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</si>
  <si>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</si>
  <si>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</si>
  <si>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</si>
  <si>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</si>
  <si>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</si>
  <si>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</si>
  <si>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</si>
  <si>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</si>
  <si>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</si>
  <si>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</si>
  <si>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</si>
  <si>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</si>
  <si>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</si>
  <si>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</si>
  <si>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</si>
  <si>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</si>
  <si>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</si>
  <si>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</si>
  <si>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</si>
  <si>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</si>
  <si>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</si>
  <si>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</si>
  <si>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</si>
  <si>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</si>
  <si>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</si>
  <si>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</si>
  <si>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</si>
  <si>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</si>
  <si>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</si>
  <si>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</si>
  <si>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</si>
  <si>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</si>
  <si>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</si>
  <si>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</si>
  <si>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</si>
  <si>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</si>
  <si>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</si>
  <si>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</si>
  <si>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</si>
  <si>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</si>
  <si>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</si>
  <si>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</si>
  <si>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</si>
  <si>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</si>
  <si>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</si>
  <si>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</si>
  <si>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</si>
  <si>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</si>
  <si>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</si>
  <si>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</si>
  <si>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</si>
  <si>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</si>
  <si>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</si>
  <si>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</si>
  <si>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</si>
  <si>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</si>
  <si>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</si>
  <si>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</si>
  <si>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</si>
  <si>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</si>
  <si>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</si>
  <si>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</si>
  <si>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</si>
  <si>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</si>
  <si>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</si>
  <si>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</si>
  <si>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</si>
  <si>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</si>
  <si>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</si>
  <si>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</si>
  <si>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</si>
  <si>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</si>
  <si>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</si>
  <si>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</si>
  <si>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</si>
  <si>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</si>
  <si>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</si>
  <si>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</si>
  <si>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</si>
  <si>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</si>
  <si>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</si>
  <si>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</si>
  <si>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</si>
  <si>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</si>
  <si>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</si>
  <si>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</si>
  <si>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</si>
  <si>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</si>
  <si>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</si>
  <si>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</si>
  <si>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</si>
  <si>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</si>
  <si>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</si>
  <si>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</si>
  <si>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</si>
  <si>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</si>
  <si>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</si>
  <si>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</si>
  <si>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</si>
  <si>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</si>
  <si>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</si>
  <si>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</si>
  <si>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</si>
  <si>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</si>
  <si>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</si>
  <si>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</si>
  <si>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</si>
  <si>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</si>
  <si>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</si>
  <si>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</si>
  <si>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</si>
  <si>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</si>
  <si>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</si>
  <si>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</si>
  <si>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</si>
  <si>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</si>
  <si>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</si>
  <si>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</si>
  <si>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</si>
  <si>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</si>
  <si>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</si>
  <si>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</si>
  <si>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</si>
  <si>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</si>
  <si>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</si>
  <si>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</si>
  <si>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</si>
  <si>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</si>
  <si>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</si>
  <si>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</si>
  <si>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</si>
  <si>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</si>
  <si>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</si>
  <si>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</si>
  <si>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</si>
  <si>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</si>
  <si>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</si>
  <si>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</si>
  <si>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</si>
  <si>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</si>
  <si>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</si>
  <si>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</si>
  <si>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</si>
  <si>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</si>
  <si>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</si>
  <si>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</si>
  <si>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</si>
  <si>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</si>
  <si>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</si>
  <si>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</si>
  <si>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</si>
  <si>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</si>
  <si>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</si>
  <si>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</si>
  <si>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</si>
  <si>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</si>
  <si>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</si>
  <si>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</si>
  <si>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</si>
  <si>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</si>
  <si>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</si>
  <si>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</si>
  <si>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</si>
  <si>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</si>
  <si>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</si>
  <si>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</si>
  <si>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</si>
  <si>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</si>
  <si>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</si>
  <si>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</si>
  <si>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</si>
  <si>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</si>
  <si>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</si>
  <si>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</si>
  <si>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</si>
  <si>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</si>
  <si>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</si>
  <si>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</si>
  <si>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</si>
  <si>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</si>
  <si>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</si>
  <si>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</si>
  <si>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</si>
  <si>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</si>
  <si>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</si>
  <si>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</si>
  <si>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</si>
  <si>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</si>
  <si>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</si>
  <si>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</si>
  <si>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</si>
  <si>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</si>
  <si>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</si>
  <si>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</si>
  <si>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</si>
  <si>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</si>
  <si>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</si>
  <si>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</si>
  <si>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</si>
  <si>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</si>
  <si>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</si>
  <si>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</si>
  <si>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</si>
  <si>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</si>
  <si>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</si>
  <si>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</si>
  <si>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</si>
  <si>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</si>
  <si>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</si>
  <si>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</si>
  <si>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</si>
  <si>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</si>
  <si>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</si>
  <si>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</si>
  <si>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</si>
  <si>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</si>
  <si>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</si>
  <si>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</si>
  <si>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</si>
  <si>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</si>
  <si>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</si>
  <si>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</si>
  <si>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</si>
  <si>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</si>
  <si>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</si>
  <si>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</si>
  <si>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</si>
  <si>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</si>
  <si>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</si>
  <si>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</si>
  <si>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</si>
  <si>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</si>
  <si>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</si>
  <si>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</si>
  <si>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</si>
  <si>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</si>
  <si>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</si>
  <si>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</si>
  <si>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</si>
  <si>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</si>
  <si>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</si>
  <si>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</si>
  <si>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</si>
  <si>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</si>
  <si>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</si>
  <si>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</si>
  <si>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</si>
  <si>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</si>
  <si>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</si>
  <si>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</si>
  <si>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</si>
  <si>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</si>
  <si>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</si>
  <si>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</si>
  <si>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</si>
  <si>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</si>
  <si>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</si>
  <si>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</si>
  <si>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</si>
  <si>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</si>
  <si>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</si>
  <si>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</si>
  <si>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</si>
  <si>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</si>
  <si>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</si>
  <si>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</si>
  <si>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</si>
  <si>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</si>
  <si>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</si>
  <si>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</si>
  <si>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</si>
  <si>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</si>
  <si>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</si>
  <si>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</si>
  <si>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</si>
  <si>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</si>
  <si>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</si>
  <si>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</si>
  <si>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</si>
  <si>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</si>
  <si>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</si>
  <si>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</si>
  <si>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</si>
  <si>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</si>
  <si>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</si>
  <si>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</si>
  <si>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</si>
  <si>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</si>
  <si>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</si>
  <si>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</si>
  <si>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</si>
  <si>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</si>
  <si>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</si>
  <si>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</si>
  <si>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</si>
  <si>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</si>
  <si>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</si>
  <si>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</si>
  <si>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</si>
  <si>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</si>
  <si>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</si>
  <si>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</si>
  <si>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</si>
  <si>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</si>
  <si>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</si>
  <si>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</si>
  <si>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</si>
  <si>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</si>
  <si>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</si>
  <si>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</si>
  <si>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</si>
  <si>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</si>
  <si>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</si>
  <si>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</si>
  <si>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</si>
  <si>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</si>
  <si>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</si>
  <si>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</si>
  <si>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</si>
  <si>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</si>
  <si>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</si>
  <si>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</si>
  <si>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</si>
  <si>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</si>
  <si>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</si>
  <si>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</si>
  <si>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</si>
  <si>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</si>
  <si>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</si>
  <si>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</si>
  <si>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</si>
  <si>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</si>
  <si>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</si>
  <si>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</si>
  <si>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</si>
  <si>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</si>
  <si>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</si>
  <si>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</si>
  <si>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</si>
  <si>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</si>
  <si>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</si>
  <si>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</si>
  <si>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</si>
  <si>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</si>
  <si>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</si>
  <si>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</si>
  <si>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</si>
  <si>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</si>
  <si>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</si>
  <si>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</si>
  <si>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</si>
  <si>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</si>
  <si>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</si>
  <si>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</si>
  <si>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</si>
  <si>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</si>
  <si>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</si>
  <si>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</si>
  <si>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</si>
  <si>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</si>
  <si>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</si>
  <si>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</si>
  <si>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</si>
  <si>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</si>
  <si>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</si>
  <si>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</si>
  <si>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</si>
  <si>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</si>
  <si>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</si>
  <si>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</si>
  <si>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</si>
  <si>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</si>
  <si>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</si>
  <si>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</si>
  <si>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</si>
  <si>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</si>
  <si>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</si>
  <si>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</si>
  <si>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</si>
  <si>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</si>
  <si>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</si>
  <si>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</si>
  <si>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</si>
  <si>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</si>
  <si>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</si>
  <si>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</si>
  <si>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</si>
  <si>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</si>
  <si>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</si>
  <si>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</si>
  <si>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</si>
  <si>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</si>
  <si>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</si>
  <si>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</si>
  <si>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</si>
  <si>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</si>
  <si>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</si>
  <si>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</si>
  <si>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</si>
  <si>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</si>
  <si>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</si>
  <si>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</si>
  <si>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</si>
  <si>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</si>
  <si>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</si>
  <si>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</si>
  <si>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</si>
  <si>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</si>
  <si>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</si>
  <si>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</si>
  <si>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</si>
  <si>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</si>
  <si>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</si>
  <si>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</si>
  <si>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</si>
  <si>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</si>
  <si>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</si>
  <si>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</si>
  <si>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</si>
  <si>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</si>
  <si>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</si>
  <si>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</si>
  <si>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</si>
  <si>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</si>
  <si>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</si>
  <si>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</si>
  <si>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</si>
  <si>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</si>
  <si>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</si>
  <si>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</si>
  <si>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</si>
  <si>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</si>
  <si>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</si>
  <si>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</si>
  <si>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</si>
  <si>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</si>
  <si>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</si>
  <si>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</si>
  <si>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</si>
  <si>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</si>
  <si>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</si>
  <si>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</si>
  <si>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</si>
  <si>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</si>
  <si>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</si>
  <si>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</si>
  <si>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</si>
  <si>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</si>
  <si>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</si>
  <si>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</si>
  <si>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</si>
  <si>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</si>
  <si>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</si>
  <si>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</si>
  <si>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</si>
  <si>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</si>
  <si>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</si>
  <si>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</si>
  <si>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</si>
  <si>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</si>
  <si>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</si>
  <si>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</si>
  <si>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</si>
  <si>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</si>
  <si>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</si>
  <si>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</si>
  <si>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</si>
  <si>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</si>
  <si>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</si>
  <si>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</si>
  <si>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</si>
  <si>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</si>
  <si>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</si>
  <si>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</si>
  <si>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</si>
  <si>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</si>
  <si>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</si>
  <si>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</si>
  <si>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</si>
  <si>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</si>
  <si>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</si>
  <si>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</si>
  <si>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</si>
  <si>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</si>
  <si>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</si>
  <si>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</si>
  <si>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</si>
  <si>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</si>
  <si>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</si>
  <si>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</si>
  <si>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</si>
  <si>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</si>
  <si>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</si>
  <si>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</si>
  <si>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</si>
  <si>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</si>
  <si>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</si>
  <si>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</si>
  <si>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</si>
  <si>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</si>
  <si>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</si>
  <si>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</si>
  <si>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</si>
  <si>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</si>
  <si>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</si>
  <si>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</si>
  <si>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</si>
  <si>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</si>
  <si>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</si>
  <si>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</si>
  <si>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</si>
  <si>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</si>
  <si>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</si>
  <si>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</si>
  <si>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</si>
  <si>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</si>
  <si>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</si>
  <si>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</si>
  <si>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</si>
  <si>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</si>
  <si>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</si>
  <si>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</si>
  <si>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</si>
  <si>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</si>
  <si>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</si>
  <si>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</si>
  <si>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</si>
  <si>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</si>
  <si>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</si>
  <si>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</si>
  <si>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</si>
  <si>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</si>
  <si>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</si>
  <si>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</si>
  <si>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</si>
  <si>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</si>
  <si>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</si>
  <si>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</si>
  <si>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</si>
  <si>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</si>
  <si>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</si>
  <si>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</si>
  <si>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</si>
  <si>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</si>
  <si>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</si>
  <si>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</si>
  <si>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</si>
  <si>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</si>
  <si>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</si>
  <si>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</si>
  <si>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</si>
  <si>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</si>
  <si>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</si>
  <si>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</si>
  <si>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</si>
  <si>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</si>
  <si>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</si>
  <si>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</si>
  <si>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</si>
  <si>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</si>
  <si>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</si>
  <si>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</si>
  <si>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</si>
  <si>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</si>
  <si>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</si>
  <si>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</si>
  <si>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</si>
  <si>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</si>
  <si>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</si>
  <si>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</si>
  <si>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</si>
  <si>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</si>
  <si>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</si>
  <si>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</si>
  <si>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</si>
  <si>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</si>
  <si>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</si>
  <si>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</si>
  <si>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</si>
  <si>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</si>
  <si>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</si>
  <si>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</si>
  <si>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</si>
  <si>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</si>
  <si>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</si>
  <si>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</si>
  <si>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</si>
  <si>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</si>
  <si>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</si>
  <si>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</si>
  <si>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</si>
  <si>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</si>
  <si>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</si>
  <si>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</si>
  <si>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</si>
  <si>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</si>
  <si>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</si>
  <si>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</si>
  <si>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</si>
  <si>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</si>
  <si>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</si>
  <si>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</si>
  <si>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</si>
  <si>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</si>
  <si>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</si>
  <si>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</si>
  <si>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</si>
  <si>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</si>
  <si>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</si>
  <si>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</si>
  <si>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</si>
  <si>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</si>
  <si>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</si>
  <si>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</si>
  <si>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</si>
  <si>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</si>
  <si>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</si>
  <si>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</si>
  <si>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</si>
  <si>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</si>
  <si>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</si>
  <si>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</si>
  <si>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</si>
  <si>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</si>
  <si>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</si>
  <si>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</si>
  <si>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</si>
  <si>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</si>
  <si>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</si>
  <si>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</si>
  <si>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</si>
  <si>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</si>
  <si>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</si>
  <si>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</si>
  <si>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</si>
  <si>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</si>
  <si>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</si>
  <si>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</si>
  <si>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</si>
  <si>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</si>
  <si>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</si>
  <si>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</si>
  <si>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</si>
  <si>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</si>
  <si>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</si>
  <si>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</si>
  <si>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</si>
  <si>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</si>
  <si>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</si>
  <si>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</si>
  <si>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</si>
  <si>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</si>
  <si>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</si>
  <si>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</si>
  <si>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</si>
  <si>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</si>
  <si>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</si>
  <si>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</si>
  <si>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</si>
  <si>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</si>
  <si>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</si>
  <si>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</si>
  <si>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</si>
  <si>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</si>
  <si>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</si>
  <si>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</si>
  <si>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</si>
  <si>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</si>
  <si>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</si>
  <si>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</si>
  <si>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</si>
  <si>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</si>
  <si>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</si>
  <si>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</si>
  <si>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</si>
  <si>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</si>
  <si>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</si>
  <si>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</si>
  <si>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</si>
  <si>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</si>
  <si>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</si>
  <si>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</si>
  <si>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</si>
  <si>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</si>
  <si>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</si>
  <si>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</si>
  <si>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</si>
  <si>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</si>
  <si>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</si>
  <si>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</si>
  <si>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</si>
  <si>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</si>
  <si>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</si>
  <si>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</si>
  <si>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</si>
  <si>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</si>
  <si>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</si>
  <si>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</si>
  <si>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</si>
  <si>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</si>
  <si>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</si>
  <si>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</si>
  <si>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</si>
  <si>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</si>
  <si>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</si>
  <si>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</si>
  <si>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</si>
  <si>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</si>
  <si>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</si>
  <si>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</si>
  <si>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</si>
  <si>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</si>
  <si>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</si>
  <si>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</si>
  <si>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</si>
  <si>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</si>
  <si>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</si>
  <si>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</si>
  <si>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</si>
  <si>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</si>
  <si>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</si>
  <si>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</si>
  <si>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</si>
  <si>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</si>
  <si>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</si>
  <si>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</si>
  <si>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</si>
  <si>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</si>
  <si>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</si>
  <si>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</si>
  <si>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</si>
  <si>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</si>
  <si>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</si>
  <si>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</si>
  <si>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</si>
  <si>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</si>
  <si>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</si>
  <si>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</si>
  <si>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</si>
  <si>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</si>
  <si>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</si>
  <si>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</si>
  <si>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</si>
  <si>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</si>
  <si>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</si>
  <si>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</si>
  <si>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</si>
  <si>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</si>
  <si>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</si>
  <si>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</si>
  <si>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</si>
  <si>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</si>
  <si>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</si>
  <si>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</si>
  <si>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</si>
  <si>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</si>
  <si>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</si>
  <si>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</si>
  <si>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</si>
  <si>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</si>
  <si>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</si>
  <si>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</si>
  <si>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</si>
  <si>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</si>
  <si>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</si>
  <si>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</si>
  <si>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</si>
  <si>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</si>
  <si>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</si>
  <si>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</si>
  <si>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</si>
  <si>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</si>
  <si>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</si>
  <si>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</si>
  <si>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</si>
  <si>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</si>
  <si>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</si>
  <si>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</si>
  <si>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</si>
  <si>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</si>
  <si>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</si>
  <si>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</si>
  <si>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</si>
  <si>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</si>
  <si>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</si>
  <si>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</si>
  <si>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</si>
  <si>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</si>
  <si>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</si>
  <si>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</si>
  <si>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</si>
  <si>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</si>
  <si>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</si>
  <si>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</si>
  <si>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</si>
  <si>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</si>
  <si>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</si>
  <si>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</si>
  <si>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</si>
  <si>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</si>
  <si>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</si>
  <si>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</si>
  <si>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</si>
  <si>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</si>
  <si>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</si>
  <si>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</si>
  <si>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</si>
  <si>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</si>
  <si>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</si>
  <si>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</si>
  <si>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</si>
  <si>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</si>
  <si>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</si>
  <si>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</si>
  <si>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</si>
  <si>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</si>
  <si>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</si>
  <si>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</si>
  <si>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</si>
  <si>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</si>
  <si>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</si>
  <si>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</si>
  <si>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</si>
  <si>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</si>
  <si>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</si>
  <si>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</si>
  <si>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</si>
  <si>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</si>
  <si>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</si>
  <si>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</si>
  <si>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</si>
  <si>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</si>
  <si>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</si>
  <si>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</si>
  <si>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</si>
  <si>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</si>
  <si>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</si>
  <si>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</si>
  <si>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</si>
  <si>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</si>
  <si>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</si>
  <si>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</si>
  <si>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</si>
  <si>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</si>
  <si>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</si>
  <si>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</si>
  <si>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</si>
  <si>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</si>
  <si>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</si>
  <si>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</si>
  <si>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</si>
  <si>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</si>
  <si>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</si>
  <si>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</si>
  <si>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</si>
  <si>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</si>
  <si>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</si>
  <si>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</si>
  <si>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</si>
  <si>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</si>
  <si>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</si>
  <si>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</si>
  <si>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</si>
  <si>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</si>
  <si>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</si>
  <si>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</si>
  <si>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</si>
  <si>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</si>
  <si>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</si>
  <si>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</si>
  <si>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</si>
  <si>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</si>
  <si>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</si>
  <si>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</si>
  <si>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</si>
  <si>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</si>
  <si>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</si>
  <si>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</si>
  <si>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</si>
  <si>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</si>
  <si>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</si>
  <si>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</si>
  <si>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</si>
  <si>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</si>
  <si>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</si>
  <si>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</si>
  <si>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</si>
  <si>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</si>
  <si>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</si>
  <si>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</si>
  <si>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</si>
  <si>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</si>
  <si>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</si>
  <si>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</si>
  <si>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</si>
  <si>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</si>
  <si>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</si>
  <si>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</si>
  <si>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</si>
  <si>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</si>
  <si>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</si>
  <si>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</si>
  <si>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</si>
  <si>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</si>
  <si>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</si>
  <si>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</si>
  <si>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</si>
  <si>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</si>
  <si>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</si>
  <si>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</si>
  <si>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</si>
  <si>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</si>
  <si>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</si>
  <si>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</si>
  <si>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</si>
  <si>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</si>
  <si>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</si>
  <si>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</si>
  <si>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</si>
  <si>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</si>
  <si>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</si>
  <si>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</si>
  <si>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</si>
  <si>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</si>
  <si>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</si>
  <si>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</si>
  <si>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</si>
  <si>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</si>
  <si>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</si>
  <si>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</si>
  <si>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</si>
  <si>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</si>
  <si>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</si>
  <si>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</si>
  <si>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</si>
  <si>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</si>
  <si>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</si>
  <si>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</si>
  <si>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</si>
  <si>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</si>
  <si>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</si>
  <si>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</si>
  <si>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</si>
  <si>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</si>
  <si>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</si>
  <si>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</si>
  <si>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</si>
  <si>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</si>
  <si>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</si>
  <si>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</si>
  <si>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</si>
  <si>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</si>
  <si>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</si>
  <si>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</si>
  <si>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</si>
  <si>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</si>
  <si>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</si>
  <si>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</si>
  <si>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</si>
  <si>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</si>
  <si>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</si>
  <si>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</si>
  <si>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</si>
  <si>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</si>
  <si>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</si>
  <si>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</si>
  <si>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</si>
  <si>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</si>
  <si>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</si>
  <si>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</si>
  <si>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</si>
  <si>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</si>
  <si>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</si>
  <si>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</si>
  <si>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</si>
  <si>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</si>
  <si>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</si>
  <si>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</si>
  <si>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</si>
  <si>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</si>
  <si>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</si>
  <si>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</si>
  <si>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</si>
  <si>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</si>
  <si>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</si>
  <si>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</si>
  <si>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</si>
  <si>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</si>
  <si>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</si>
  <si>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</si>
  <si>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</si>
  <si>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</si>
  <si>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</si>
  <si>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</si>
  <si>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</si>
  <si>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</si>
  <si>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</si>
  <si>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</si>
  <si>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</si>
  <si>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</si>
  <si>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</si>
  <si>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</si>
  <si>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</si>
  <si>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</si>
  <si>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</si>
  <si>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</si>
  <si>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</si>
  <si>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</si>
  <si>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</si>
  <si>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</si>
  <si>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</si>
  <si>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</si>
  <si>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</si>
  <si>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</si>
  <si>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</si>
  <si>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</si>
  <si>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</si>
  <si>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</si>
  <si>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</si>
  <si>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</si>
  <si>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</si>
  <si>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</si>
  <si>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</si>
  <si>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</si>
  <si>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</si>
  <si>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</si>
  <si>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</si>
  <si>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</si>
  <si>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</si>
  <si>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</si>
  <si>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</si>
  <si>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</si>
  <si>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</si>
  <si>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</si>
  <si>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</si>
  <si>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</si>
  <si>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</si>
  <si>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</si>
  <si>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</si>
  <si>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</si>
  <si>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</si>
  <si>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</si>
  <si>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</si>
  <si>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</si>
  <si>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</si>
  <si>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</si>
  <si>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</si>
  <si>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</si>
  <si>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</si>
  <si>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</si>
  <si>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</si>
  <si>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</si>
  <si>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</si>
  <si>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</si>
  <si>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</si>
  <si>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</si>
  <si>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</si>
  <si>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</si>
  <si>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</si>
  <si>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</si>
  <si>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</si>
  <si>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</si>
  <si>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</si>
  <si>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</si>
  <si>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</si>
  <si>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</si>
  <si>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</si>
  <si>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</si>
  <si>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</si>
  <si>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</si>
  <si>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</si>
  <si>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</si>
  <si>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</si>
  <si>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</si>
  <si>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</si>
  <si>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</si>
  <si>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</si>
  <si>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</si>
  <si>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</si>
  <si>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</si>
  <si>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</si>
  <si>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</si>
  <si>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</si>
  <si>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</si>
  <si>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</si>
  <si>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</si>
  <si>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</si>
  <si>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</si>
  <si>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</si>
  <si>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</si>
  <si>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</si>
  <si>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</si>
  <si>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</si>
  <si>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</si>
  <si>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</si>
  <si>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</si>
  <si>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</si>
  <si>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</si>
  <si>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</si>
  <si>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</si>
  <si>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</si>
  <si>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</si>
  <si>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</si>
  <si>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</si>
  <si>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</si>
  <si>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</si>
  <si>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</si>
  <si>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</si>
  <si>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</si>
  <si>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</si>
  <si>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</si>
  <si>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</si>
  <si>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</si>
  <si>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</si>
  <si>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</si>
  <si>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</si>
  <si>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</si>
  <si>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</si>
  <si>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</si>
  <si>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</si>
  <si>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</si>
  <si>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</si>
  <si>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</si>
  <si>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</si>
  <si>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</si>
  <si>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</si>
  <si>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</si>
  <si>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</si>
  <si>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</si>
  <si>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</si>
  <si>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</si>
  <si>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</si>
  <si>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</si>
  <si>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</si>
  <si>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</si>
  <si>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</si>
  <si>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</si>
  <si>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</si>
  <si>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</si>
  <si>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</si>
  <si>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</si>
  <si>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</si>
  <si>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</si>
  <si>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</si>
  <si>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</si>
  <si>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</si>
  <si>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</si>
  <si>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</si>
  <si>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</si>
  <si>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</si>
  <si>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</si>
  <si>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</si>
  <si>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</si>
  <si>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</si>
  <si>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</si>
  <si>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</si>
  <si>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</si>
  <si>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</si>
  <si>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</si>
  <si>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</si>
  <si>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</si>
  <si>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</si>
  <si>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</si>
  <si>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</si>
  <si>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</si>
  <si>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</si>
  <si>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</si>
  <si>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</si>
  <si>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</si>
  <si>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</si>
  <si>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</si>
  <si>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</si>
  <si>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</si>
  <si>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</si>
  <si>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</si>
  <si>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</si>
  <si>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</si>
  <si>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</si>
  <si>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</si>
  <si>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</si>
  <si>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</si>
  <si>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</si>
  <si>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</si>
  <si>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</si>
  <si>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</si>
  <si>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</si>
  <si>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</si>
  <si>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</si>
  <si>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</si>
  <si>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</si>
  <si>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</si>
  <si>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</si>
  <si>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</si>
  <si>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</si>
  <si>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</si>
  <si>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</si>
  <si>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</si>
  <si>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</si>
  <si>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</si>
  <si>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</si>
  <si>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</si>
  <si>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</si>
  <si>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</si>
  <si>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</si>
  <si>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</si>
  <si>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</si>
  <si>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</si>
  <si>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</si>
  <si>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</si>
  <si>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</si>
  <si>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</si>
  <si>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</si>
  <si>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</si>
  <si>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</si>
  <si>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</si>
  <si>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</si>
  <si>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</si>
  <si>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</si>
  <si>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</si>
  <si>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</si>
  <si>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</si>
  <si>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</si>
  <si>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</si>
  <si>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</si>
  <si>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</si>
  <si>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</si>
  <si>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</si>
  <si>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</si>
  <si>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</si>
  <si>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</si>
  <si>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</si>
  <si>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</si>
  <si>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</si>
  <si>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</si>
  <si>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</si>
  <si>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</si>
  <si>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</si>
  <si>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</si>
  <si>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</si>
  <si>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</si>
  <si>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</si>
  <si>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</si>
  <si>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</si>
  <si>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</si>
  <si>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</si>
  <si>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</si>
  <si>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</si>
  <si>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</si>
  <si>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</si>
  <si>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</si>
  <si>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</si>
  <si>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</si>
  <si>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</si>
  <si>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</si>
  <si>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</si>
  <si>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</si>
  <si>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</si>
  <si>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</si>
  <si>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</si>
  <si>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</si>
  <si>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</si>
  <si>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</si>
  <si>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</si>
  <si>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</si>
  <si>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</si>
  <si>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</si>
  <si>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</si>
  <si>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</si>
  <si>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</si>
  <si>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</si>
  <si>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</si>
  <si>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</si>
  <si>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</si>
  <si>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</si>
  <si>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</si>
  <si>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</si>
  <si>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</si>
  <si>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</si>
  <si>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</si>
  <si>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</si>
  <si>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</si>
  <si>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</si>
  <si>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</si>
  <si>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</si>
  <si>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</si>
  <si>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</si>
  <si>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</si>
  <si>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</si>
  <si>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</si>
  <si>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</si>
  <si>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</si>
  <si>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</si>
  <si>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</si>
  <si>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</si>
  <si>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</si>
  <si>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</si>
  <si>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</si>
  <si>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</si>
  <si>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</si>
  <si>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</si>
  <si>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</si>
  <si>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</si>
  <si>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</si>
  <si>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</si>
  <si>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</si>
  <si>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</si>
  <si>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</si>
  <si>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</si>
  <si>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</si>
  <si>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</si>
  <si>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</si>
  <si>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</si>
  <si>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</si>
  <si>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</si>
  <si>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</si>
  <si>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</si>
  <si>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</si>
  <si>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</si>
  <si>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</si>
  <si>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</si>
  <si>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</si>
  <si>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</si>
  <si>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</si>
  <si>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</si>
  <si>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</si>
  <si>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</si>
  <si>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</si>
  <si>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</si>
  <si>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</si>
  <si>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</si>
  <si>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</si>
  <si>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</si>
  <si>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</si>
  <si>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</si>
  <si>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</si>
  <si>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</si>
  <si>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</si>
  <si>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</si>
  <si>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</si>
  <si>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</si>
  <si>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</si>
  <si>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</si>
  <si>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</si>
  <si>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</si>
  <si>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</si>
  <si>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</si>
  <si>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</si>
  <si>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</si>
  <si>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</si>
  <si>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</si>
  <si>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</si>
  <si>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</si>
  <si>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</si>
  <si>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</si>
  <si>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</si>
  <si>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</si>
  <si>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</si>
  <si>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</si>
  <si>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</si>
  <si>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</si>
  <si>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</si>
  <si>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</si>
  <si>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</si>
  <si>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</si>
  <si>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</si>
  <si>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</si>
  <si>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</si>
  <si>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</si>
  <si>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</si>
  <si>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</si>
  <si>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</si>
  <si>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</si>
  <si>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</si>
  <si>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</si>
  <si>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</si>
  <si>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</si>
  <si>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</si>
  <si>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</si>
  <si>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</si>
  <si>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</si>
  <si>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</si>
  <si>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</si>
  <si>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</si>
  <si>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</si>
  <si>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</si>
  <si>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</si>
  <si>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</si>
  <si>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</si>
  <si>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</si>
  <si>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</si>
  <si>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</si>
  <si>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</si>
  <si>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</si>
  <si>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</si>
  <si>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</si>
  <si>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</si>
  <si>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</si>
  <si>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</si>
  <si>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</si>
  <si>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</si>
  <si>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</si>
  <si>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</si>
  <si>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</si>
  <si>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</si>
  <si>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</si>
  <si>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</si>
  <si>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</si>
  <si>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</si>
  <si>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</si>
  <si>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</si>
  <si>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</si>
  <si>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</si>
  <si>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</si>
  <si>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</si>
  <si>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</si>
  <si>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</si>
  <si>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</si>
  <si>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</si>
  <si>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</si>
  <si>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</si>
  <si>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</si>
  <si>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</si>
  <si>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</si>
  <si>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</si>
  <si>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</si>
  <si>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</si>
  <si>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</si>
  <si>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</si>
  <si>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</si>
  <si>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</si>
  <si>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</si>
  <si>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</si>
  <si>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</si>
  <si>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</si>
  <si>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</si>
  <si>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</si>
  <si>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</si>
  <si>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</si>
  <si>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</si>
  <si>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</si>
  <si>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</si>
  <si>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</si>
  <si>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</si>
  <si>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</si>
  <si>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</si>
  <si>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</si>
  <si>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</si>
  <si>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</si>
  <si>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</si>
  <si>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</si>
  <si>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</si>
  <si>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</si>
  <si>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</si>
  <si>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</si>
  <si>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</si>
  <si>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</si>
  <si>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</si>
  <si>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</si>
  <si>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</si>
  <si>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</si>
  <si>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</si>
  <si>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</si>
  <si>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</si>
  <si>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</si>
  <si>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</si>
  <si>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</si>
  <si>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</si>
  <si>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</si>
  <si>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</si>
  <si>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</si>
  <si>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</si>
  <si>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</si>
  <si>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</si>
  <si>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</si>
  <si>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</si>
  <si>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</si>
  <si>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</si>
  <si>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</si>
  <si>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</si>
  <si>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</si>
  <si>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</si>
  <si>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</si>
  <si>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</si>
  <si>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</si>
  <si>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</si>
  <si>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</si>
  <si>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</si>
  <si>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</si>
  <si>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</si>
  <si>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</si>
  <si>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</si>
  <si>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</si>
  <si>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</si>
  <si>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</si>
  <si>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</si>
  <si>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</si>
  <si>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</si>
  <si>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</si>
  <si>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</si>
  <si>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</si>
  <si>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</si>
  <si>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</si>
  <si>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</si>
  <si>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</si>
  <si>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</si>
  <si>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</si>
  <si>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</si>
  <si>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</si>
  <si>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</si>
  <si>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</si>
  <si>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</si>
  <si>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</si>
  <si>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</si>
  <si>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</si>
  <si>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</si>
  <si>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</si>
  <si>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</si>
  <si>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</si>
  <si>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</si>
  <si>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</si>
  <si>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</si>
  <si>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</si>
  <si>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</si>
  <si>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</si>
  <si>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</si>
  <si>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</si>
  <si>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</si>
  <si>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</si>
  <si>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</si>
  <si>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</si>
  <si>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</si>
  <si>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</si>
  <si>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</si>
  <si>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</si>
  <si>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</si>
  <si>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</si>
  <si>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</si>
  <si>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</si>
  <si>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</si>
  <si>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</si>
  <si>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</si>
  <si>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</si>
  <si>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</si>
  <si>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</si>
  <si>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</si>
  <si>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</si>
  <si>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</si>
  <si>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</si>
  <si>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</si>
  <si>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</si>
  <si>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</si>
  <si>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</si>
  <si>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</si>
  <si>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</si>
  <si>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</si>
  <si>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</si>
  <si>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</si>
  <si>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</si>
  <si>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</si>
  <si>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</si>
  <si>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</si>
  <si>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</si>
  <si>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</si>
  <si>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</si>
  <si>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</si>
  <si>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</si>
  <si>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</si>
  <si>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</si>
  <si>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</si>
  <si>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</si>
  <si>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</si>
  <si>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</si>
  <si>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</si>
  <si>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</si>
  <si>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</si>
  <si>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</si>
  <si>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</si>
  <si>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</si>
  <si>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</si>
  <si>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</si>
  <si>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</si>
  <si>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</si>
  <si>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</si>
  <si>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</si>
  <si>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</si>
  <si>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</si>
  <si>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</si>
  <si>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</si>
  <si>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</si>
  <si>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</si>
  <si>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</si>
  <si>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</si>
  <si>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</si>
  <si>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</si>
  <si>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</si>
  <si>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</si>
  <si>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</si>
  <si>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</si>
  <si>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</si>
  <si>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</si>
  <si>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</si>
  <si>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</si>
  <si>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</si>
  <si>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</si>
  <si>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</si>
  <si>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</si>
  <si>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</si>
  <si>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</si>
  <si>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</si>
  <si>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</si>
  <si>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</si>
  <si>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</si>
  <si>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</si>
  <si>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</si>
  <si>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</si>
  <si>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</si>
  <si>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</si>
  <si>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</si>
  <si>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</si>
  <si>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</si>
  <si>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</si>
  <si>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</si>
  <si>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</si>
  <si>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</si>
  <si>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</si>
  <si>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</si>
  <si>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</si>
  <si>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</si>
  <si>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</si>
  <si>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</si>
  <si>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</si>
  <si>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</si>
  <si>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</si>
  <si>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</si>
  <si>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</si>
  <si>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</si>
  <si>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</si>
  <si>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</si>
  <si>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</si>
  <si>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</si>
  <si>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</si>
  <si>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</si>
  <si>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</si>
  <si>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</si>
  <si>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</si>
  <si>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</si>
  <si>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</si>
  <si>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</si>
  <si>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</si>
  <si>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</si>
  <si>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</si>
  <si>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</si>
  <si>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</si>
  <si>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</si>
  <si>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</si>
  <si>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</si>
  <si>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</si>
  <si>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</si>
  <si>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</si>
  <si>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</si>
  <si>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</si>
  <si>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</si>
  <si>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</si>
  <si>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</si>
  <si>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</si>
  <si>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</si>
  <si>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</si>
  <si>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</si>
  <si>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</si>
  <si>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</si>
  <si>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</si>
  <si>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</si>
  <si>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</si>
  <si>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</si>
  <si>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</si>
  <si>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</si>
  <si>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</si>
  <si>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</si>
  <si>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</si>
  <si>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</si>
  <si>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</si>
  <si>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</si>
  <si>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</si>
  <si>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</si>
  <si>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</si>
  <si>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</si>
  <si>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</si>
  <si>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</si>
  <si>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</si>
  <si>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</si>
  <si>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</si>
  <si>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</si>
  <si>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</si>
  <si>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</si>
  <si>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</si>
  <si>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</si>
  <si>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</si>
  <si>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</si>
  <si>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</si>
  <si>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</si>
  <si>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</si>
  <si>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</si>
  <si>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</si>
  <si>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</si>
  <si>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</si>
  <si>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</si>
  <si>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</si>
  <si>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</si>
  <si>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</si>
  <si>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</si>
  <si>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</si>
  <si>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</si>
  <si>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</si>
  <si>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</si>
  <si>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</si>
  <si>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</si>
  <si>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</si>
  <si>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</si>
  <si>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</si>
  <si>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</si>
  <si>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</si>
  <si>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</si>
  <si>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</si>
  <si>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</si>
  <si>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</si>
  <si>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</si>
  <si>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</si>
  <si>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</si>
  <si>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</si>
  <si>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</si>
  <si>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</si>
  <si>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</si>
  <si>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</si>
  <si>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</si>
  <si>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</si>
  <si>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</si>
  <si>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</si>
  <si>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</si>
  <si>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</si>
  <si>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</si>
  <si>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</si>
  <si>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</si>
  <si>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</si>
  <si>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</si>
  <si>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</si>
  <si>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</si>
  <si>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</si>
  <si>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</si>
  <si>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</si>
  <si>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</si>
  <si>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</si>
  <si>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</si>
  <si>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</si>
  <si>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</si>
  <si>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</si>
  <si>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</si>
  <si>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</si>
  <si>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</si>
  <si>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</si>
  <si>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</si>
  <si>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</si>
  <si>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</si>
  <si>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</si>
  <si>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</si>
  <si>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</si>
  <si>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</si>
  <si>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</si>
  <si>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</si>
  <si>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</si>
  <si>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</si>
  <si>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</si>
  <si>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</si>
  <si>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</si>
  <si>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</si>
  <si>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</si>
  <si>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</si>
  <si>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</si>
  <si>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</si>
  <si>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</si>
  <si>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</si>
  <si>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</si>
  <si>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</si>
  <si>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</si>
  <si>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</si>
  <si>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</si>
  <si>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</si>
  <si>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</si>
  <si>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</si>
  <si>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</si>
  <si>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</si>
  <si>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</si>
  <si>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</si>
  <si>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</si>
  <si>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</si>
  <si>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</si>
  <si>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</si>
  <si>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</si>
  <si>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</si>
  <si>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</si>
  <si>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</si>
  <si>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</si>
  <si>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</si>
  <si>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</si>
  <si>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</si>
  <si>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</si>
  <si>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</si>
  <si>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</si>
  <si>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</si>
  <si>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</si>
  <si>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</si>
  <si>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</si>
  <si>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</si>
  <si>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</si>
  <si>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</si>
  <si>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</si>
  <si>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</si>
  <si>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</si>
  <si>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</si>
  <si>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</si>
  <si>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</si>
  <si>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</si>
  <si>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</si>
  <si>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</si>
  <si>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</si>
  <si>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</si>
  <si>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</si>
  <si>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</si>
  <si>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</si>
  <si>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</si>
  <si>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</si>
  <si>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</si>
  <si>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</si>
  <si>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</si>
  <si>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</si>
  <si>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</si>
  <si>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</si>
  <si>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</si>
  <si>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</si>
  <si>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</si>
  <si>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</si>
  <si>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</si>
  <si>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</si>
  <si>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</si>
  <si>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</si>
  <si>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</si>
  <si>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</si>
  <si>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</si>
  <si>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</si>
  <si>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</si>
  <si>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</si>
  <si>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</si>
  <si>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</si>
  <si>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</si>
  <si>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</si>
  <si>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</si>
  <si>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</si>
  <si>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</si>
  <si>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</si>
  <si>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</si>
  <si>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</si>
  <si>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</si>
  <si>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</si>
  <si>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</si>
  <si>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</si>
  <si>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</si>
  <si>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</si>
  <si>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</si>
  <si>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</si>
  <si>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</si>
  <si>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</si>
  <si>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</si>
  <si>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</si>
  <si>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</si>
  <si>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</si>
  <si>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</si>
  <si>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</si>
  <si>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</si>
  <si>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</si>
  <si>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</si>
  <si>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</si>
  <si>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</si>
  <si>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</si>
  <si>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</si>
  <si>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</si>
  <si>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</si>
  <si>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</si>
  <si>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</si>
  <si>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</si>
  <si>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</si>
  <si>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</si>
  <si>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</si>
  <si>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</si>
  <si>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</si>
  <si>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</si>
  <si>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</si>
  <si>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</si>
  <si>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</si>
  <si>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</si>
  <si>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</si>
  <si>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</si>
  <si>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</si>
  <si>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</si>
  <si>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</si>
  <si>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</si>
  <si>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</si>
  <si>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</si>
  <si>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</si>
  <si>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</si>
  <si>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</si>
  <si>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</si>
  <si>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</si>
  <si>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</si>
  <si>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</si>
  <si>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</si>
  <si>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</si>
  <si>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</si>
  <si>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</si>
  <si>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</si>
  <si>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</si>
  <si>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</si>
  <si>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</si>
  <si>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</si>
  <si>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</si>
  <si>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</si>
  <si>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</si>
  <si>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</si>
  <si>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</si>
  <si>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</si>
  <si>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</si>
  <si>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</si>
  <si>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</si>
  <si>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</si>
  <si>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</si>
  <si>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</si>
  <si>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</si>
  <si>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</si>
  <si>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</si>
  <si>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</si>
  <si>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</si>
  <si>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</si>
  <si>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</si>
  <si>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</si>
  <si>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</si>
  <si>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</si>
  <si>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</si>
  <si>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</si>
  <si>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</si>
  <si>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</si>
  <si>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</si>
  <si>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</si>
  <si>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</si>
  <si>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</si>
  <si>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</si>
  <si>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</si>
  <si>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</si>
  <si>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</si>
  <si>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</si>
  <si>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</si>
  <si>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</si>
  <si>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</si>
  <si>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</si>
  <si>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</si>
  <si>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</si>
  <si>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</si>
  <si>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</si>
  <si>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</si>
  <si>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</si>
  <si>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</si>
  <si>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</si>
  <si>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</si>
  <si>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</si>
  <si>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</si>
  <si>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</si>
  <si>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</si>
  <si>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</si>
  <si>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</si>
  <si>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</si>
  <si>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</si>
  <si>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</si>
  <si>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</si>
  <si>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</si>
  <si>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</si>
  <si>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</si>
  <si>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</si>
  <si>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</si>
  <si>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</si>
  <si>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</si>
  <si>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</si>
  <si>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</si>
  <si>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</si>
  <si>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</si>
  <si>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</si>
  <si>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</si>
  <si>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</si>
  <si>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</si>
  <si>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</si>
  <si>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</si>
  <si>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</si>
  <si>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</si>
  <si>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</si>
  <si>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</si>
  <si>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</si>
  <si>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</si>
  <si>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</si>
  <si>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</si>
  <si>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</si>
  <si>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</si>
  <si>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</si>
  <si>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</si>
  <si>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</si>
  <si>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</si>
  <si>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</si>
  <si>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</si>
  <si>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</si>
  <si>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</si>
  <si>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</si>
  <si>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</si>
  <si>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</si>
  <si>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</si>
  <si>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</si>
  <si>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</si>
  <si>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</si>
  <si>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</si>
  <si>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</si>
  <si>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</si>
  <si>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</si>
  <si>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</si>
  <si>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</si>
  <si>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</si>
  <si>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</si>
  <si>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</si>
  <si>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</si>
  <si>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</si>
  <si>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</si>
  <si>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</si>
  <si>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</si>
  <si>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</si>
  <si>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</si>
  <si>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</si>
  <si>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</si>
  <si>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</si>
  <si>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</si>
  <si>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</si>
  <si>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</si>
  <si>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</si>
  <si>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</si>
  <si>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</si>
  <si>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</si>
  <si>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</si>
  <si>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</si>
  <si>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</si>
  <si>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</si>
  <si>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</si>
  <si>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</si>
  <si>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</si>
  <si>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</si>
  <si>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</si>
  <si>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</si>
  <si>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</si>
  <si>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</si>
  <si>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</si>
  <si>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</si>
  <si>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</si>
  <si>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</si>
  <si>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</si>
  <si>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</si>
  <si>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</si>
  <si>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</si>
  <si>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</si>
  <si>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</si>
  <si>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</si>
  <si>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</si>
  <si>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</si>
  <si>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</si>
  <si>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</si>
  <si>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</si>
  <si>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</si>
  <si>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</si>
  <si>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</si>
  <si>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</si>
  <si>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</si>
  <si>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</si>
  <si>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</si>
  <si>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</si>
  <si>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</si>
  <si>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</si>
  <si>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</si>
  <si>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</si>
  <si>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</si>
  <si>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</si>
  <si>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</si>
  <si>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</si>
  <si>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</si>
  <si>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</si>
  <si>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</si>
  <si>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</si>
  <si>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</si>
  <si>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</si>
  <si>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</si>
  <si>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</si>
  <si>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</si>
  <si>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</si>
  <si>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</si>
  <si>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</si>
  <si>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</si>
  <si>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</si>
  <si>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</si>
  <si>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</si>
  <si>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</si>
  <si>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</si>
  <si>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</si>
  <si>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</si>
  <si>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</si>
  <si>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</si>
  <si>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</si>
  <si>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</si>
  <si>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</si>
  <si>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</si>
  <si>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</si>
  <si>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</si>
  <si>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</si>
  <si>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</si>
  <si>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</si>
  <si>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</si>
  <si>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</si>
  <si>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</si>
  <si>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</si>
  <si>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</si>
  <si>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</si>
  <si>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</si>
  <si>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</si>
  <si>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</si>
  <si>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</si>
  <si>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</si>
  <si>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</si>
  <si>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</si>
  <si>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</si>
  <si>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</si>
  <si>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</si>
  <si>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</si>
  <si>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</si>
  <si>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</si>
  <si>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</si>
  <si>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</si>
  <si>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</si>
  <si>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</si>
  <si>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</si>
  <si>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</si>
  <si>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</si>
  <si>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</si>
  <si>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</si>
  <si>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</si>
  <si>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</si>
  <si>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</si>
  <si>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</si>
  <si>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</si>
  <si>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</si>
  <si>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</si>
  <si>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</si>
  <si>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</si>
  <si>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</si>
  <si>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</si>
  <si>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</si>
  <si>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</si>
  <si>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</si>
  <si>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</si>
  <si>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</si>
  <si>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</si>
  <si>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</si>
  <si>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</si>
  <si>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</si>
  <si>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</si>
  <si>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</si>
  <si>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</si>
  <si>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</si>
  <si>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</si>
  <si>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</si>
  <si>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</si>
  <si>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</si>
  <si>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</si>
  <si>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</si>
  <si>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</si>
  <si>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</si>
  <si>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</si>
  <si>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</si>
  <si>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</si>
  <si>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</si>
  <si>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</si>
  <si>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</si>
  <si>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</si>
  <si>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</si>
  <si>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</si>
  <si>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</si>
  <si>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</si>
  <si>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</si>
  <si>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</si>
  <si>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</si>
  <si>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</si>
  <si>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</si>
  <si>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</si>
  <si>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</si>
  <si>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</si>
  <si>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</si>
  <si>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</si>
  <si>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</si>
  <si>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</si>
  <si>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</si>
  <si>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</si>
  <si>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</si>
  <si>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</si>
  <si>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</si>
  <si>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</si>
  <si>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</si>
  <si>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</si>
  <si>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</si>
  <si>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</si>
  <si>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</si>
  <si>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</si>
  <si>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</si>
  <si>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</si>
  <si>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</si>
  <si>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</si>
  <si>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</si>
  <si>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</si>
  <si>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</si>
  <si>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</si>
  <si>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</si>
  <si>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</si>
  <si>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</si>
  <si>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</si>
  <si>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</si>
  <si>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</si>
  <si>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</si>
  <si>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</si>
  <si>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</si>
  <si>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</si>
  <si>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</si>
  <si>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</si>
  <si>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</si>
  <si>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</si>
  <si>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</si>
  <si>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</si>
  <si>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</si>
  <si>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</si>
  <si>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</si>
  <si>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</si>
  <si>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</si>
  <si>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</si>
  <si>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</si>
  <si>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</si>
  <si>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</si>
  <si>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</si>
  <si>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</si>
  <si>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</si>
  <si>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</si>
  <si>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</si>
  <si>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</si>
  <si>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</si>
  <si>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</si>
  <si>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</si>
  <si>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</si>
  <si>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</si>
  <si>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</si>
  <si>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</si>
  <si>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</si>
  <si>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</si>
  <si>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</si>
  <si>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</si>
  <si>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</si>
  <si>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</si>
  <si>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</si>
  <si>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</si>
  <si>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</si>
  <si>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</si>
  <si>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</si>
  <si>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</si>
  <si>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</si>
  <si>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</si>
  <si>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</si>
  <si>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</si>
  <si>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</si>
  <si>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</si>
  <si>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</si>
  <si>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</si>
  <si>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</si>
  <si>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</si>
  <si>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</si>
  <si>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</si>
  <si>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</si>
  <si>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</si>
  <si>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</si>
  <si>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</si>
  <si>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</si>
  <si>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</si>
  <si>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</si>
  <si>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</si>
  <si>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</si>
  <si>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</si>
  <si>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</si>
  <si>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</si>
  <si>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</si>
  <si>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</si>
  <si>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</si>
  <si>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</si>
  <si>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</si>
  <si>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</si>
  <si>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</si>
  <si>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</si>
  <si>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</si>
  <si>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</si>
  <si>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</si>
  <si>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</si>
  <si>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</si>
  <si>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</si>
  <si>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</si>
  <si>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</si>
  <si>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</si>
  <si>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</si>
  <si>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</si>
  <si>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</si>
  <si>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</si>
  <si>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</si>
  <si>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</si>
  <si>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</si>
  <si>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</si>
  <si>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</si>
  <si>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</si>
  <si>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</si>
  <si>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</si>
  <si>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</si>
  <si>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</si>
  <si>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</si>
  <si>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</si>
  <si>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</si>
  <si>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</si>
  <si>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</si>
  <si>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</si>
  <si>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</si>
  <si>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</si>
  <si>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</si>
  <si>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</si>
  <si>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</si>
  <si>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</si>
  <si>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</si>
  <si>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</si>
  <si>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</si>
  <si>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</si>
  <si>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</si>
  <si>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</si>
  <si>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</si>
  <si>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</si>
  <si>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</si>
  <si>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</si>
  <si>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</si>
  <si>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</si>
  <si>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</si>
  <si>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</si>
  <si>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</si>
  <si>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</si>
  <si>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</si>
  <si>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</si>
  <si>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</si>
  <si>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</si>
  <si>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</si>
  <si>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</si>
  <si>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</si>
  <si>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</si>
  <si>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</si>
  <si>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</si>
  <si>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</si>
  <si>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</si>
  <si>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</si>
  <si>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</si>
  <si>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</si>
  <si>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</si>
  <si>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</si>
  <si>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</si>
  <si>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</si>
  <si>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</si>
  <si>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</si>
  <si>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</si>
  <si>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</si>
  <si>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</si>
  <si>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</si>
  <si>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</si>
  <si>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</si>
  <si>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</si>
  <si>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</si>
  <si>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</si>
  <si>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</si>
  <si>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</si>
  <si>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</si>
  <si>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</si>
  <si>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</si>
  <si>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</si>
  <si>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</si>
  <si>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</si>
  <si>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</si>
  <si>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</si>
  <si>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</si>
  <si>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</si>
  <si>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</si>
  <si>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</si>
  <si>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</si>
  <si>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</si>
  <si>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</si>
  <si>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</si>
  <si>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</si>
  <si>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</si>
  <si>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</si>
  <si>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</si>
  <si>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</si>
  <si>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</si>
  <si>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</si>
  <si>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</si>
  <si>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</si>
  <si>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</si>
  <si>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</si>
  <si>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</si>
  <si>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</si>
  <si>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</si>
  <si>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</si>
  <si>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</si>
  <si>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</si>
  <si>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</si>
  <si>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</si>
  <si>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</si>
  <si>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</si>
  <si>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</si>
  <si>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</si>
  <si>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</si>
  <si>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</si>
  <si>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</si>
  <si>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</si>
  <si>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</si>
  <si>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</si>
  <si>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</si>
  <si>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</si>
  <si>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</si>
  <si>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</si>
  <si>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</si>
  <si>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</si>
  <si>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</si>
  <si>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</si>
  <si>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</si>
  <si>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</si>
  <si>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</si>
  <si>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</si>
  <si>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</si>
  <si>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</si>
  <si>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</si>
  <si>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</si>
  <si>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</si>
  <si>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</si>
  <si>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</si>
  <si>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</si>
  <si>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</si>
  <si>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</si>
  <si>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</si>
  <si>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</si>
  <si>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</si>
  <si>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</si>
  <si>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</si>
  <si>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</si>
  <si>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</si>
  <si>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</si>
  <si>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</si>
  <si>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</si>
  <si>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</si>
  <si>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</si>
  <si>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</si>
  <si>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</si>
  <si>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</si>
  <si>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</si>
  <si>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</si>
  <si>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</si>
  <si>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</si>
  <si>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</si>
  <si>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</si>
  <si>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</si>
  <si>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</si>
  <si>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</si>
  <si>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</si>
  <si>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</si>
  <si>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</si>
  <si>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</si>
  <si>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</si>
  <si>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</si>
  <si>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</si>
  <si>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</si>
  <si>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</si>
  <si>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</si>
  <si>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</si>
  <si>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</si>
  <si>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</si>
  <si>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</si>
  <si>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</si>
  <si>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</si>
  <si>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</si>
  <si>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</si>
  <si>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</si>
  <si>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</si>
  <si>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</si>
  <si>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</si>
  <si>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</si>
  <si>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</si>
  <si>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</si>
  <si>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</si>
  <si>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</si>
  <si>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</si>
  <si>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</si>
  <si>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</si>
  <si>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</si>
  <si>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</si>
  <si>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</si>
  <si>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</si>
  <si>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</si>
  <si>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</si>
  <si>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</si>
  <si>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</si>
  <si>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</si>
  <si>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</si>
  <si>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</si>
  <si>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</si>
  <si>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</si>
  <si>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</si>
  <si>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</si>
  <si>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</si>
  <si>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</si>
  <si>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</si>
  <si>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</si>
  <si>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</si>
  <si>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</si>
  <si>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</si>
  <si>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</si>
  <si>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</si>
  <si>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</si>
  <si>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</si>
  <si>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</si>
  <si>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</si>
  <si>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</si>
  <si>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</si>
  <si>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</si>
  <si>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</si>
  <si>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</si>
  <si>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</si>
  <si>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</si>
  <si>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</si>
  <si>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</si>
  <si>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</si>
  <si>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</si>
  <si>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</si>
  <si>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</si>
  <si>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</si>
  <si>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</si>
  <si>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</si>
  <si>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</si>
  <si>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</si>
  <si>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</si>
  <si>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</si>
  <si>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</si>
  <si>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</si>
  <si>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</si>
  <si>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</si>
  <si>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</si>
  <si>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</si>
  <si>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</si>
  <si>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</si>
  <si>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</si>
  <si>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</si>
  <si>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</si>
  <si>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</si>
  <si>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</si>
  <si>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</si>
  <si>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</si>
  <si>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</si>
  <si>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</si>
  <si>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</si>
  <si>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</si>
  <si>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</si>
  <si>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</si>
  <si>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</si>
  <si>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</si>
  <si>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</si>
  <si>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</si>
  <si>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</si>
  <si>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</si>
  <si>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</si>
  <si>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</si>
  <si>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</si>
  <si>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</si>
  <si>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</si>
  <si>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</si>
  <si>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</si>
  <si>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</si>
  <si>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</si>
  <si>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</si>
  <si>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</si>
  <si>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</si>
  <si>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</si>
  <si>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</si>
  <si>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</si>
  <si>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</si>
  <si>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</si>
  <si>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</si>
  <si>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</si>
  <si>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</si>
  <si>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</si>
  <si>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</si>
  <si>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</si>
  <si>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</si>
  <si>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</si>
  <si>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</si>
  <si>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</si>
  <si>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</si>
  <si>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</si>
  <si>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</si>
  <si>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</si>
  <si>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</si>
  <si>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</si>
  <si>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</si>
  <si>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</si>
  <si>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</si>
  <si>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</si>
  <si>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</si>
  <si>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</si>
  <si>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</si>
  <si>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</si>
  <si>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</si>
  <si>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</si>
  <si>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</si>
  <si>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</si>
  <si>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</si>
  <si>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</si>
  <si>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</si>
  <si>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</si>
  <si>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</si>
  <si>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</si>
  <si>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</si>
  <si>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</si>
  <si>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</si>
  <si>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</si>
  <si>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</si>
  <si>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</si>
  <si>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</si>
  <si>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</si>
  <si>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</si>
  <si>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</si>
  <si>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</si>
  <si>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</si>
  <si>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</si>
  <si>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</si>
  <si>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</si>
  <si>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</si>
  <si>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</si>
  <si>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</si>
  <si>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</si>
  <si>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</si>
  <si>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</si>
  <si>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</si>
  <si>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</si>
  <si>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</si>
  <si>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</si>
  <si>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</si>
  <si>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</si>
  <si>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</si>
  <si>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</si>
  <si>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</si>
  <si>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</si>
  <si>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</si>
  <si>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</si>
  <si>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</si>
  <si>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</si>
  <si>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</si>
  <si>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</si>
  <si>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</si>
  <si>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</si>
  <si>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</si>
  <si>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</si>
  <si>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</si>
  <si>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</si>
  <si>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</si>
  <si>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</si>
  <si>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</si>
  <si>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</si>
  <si>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</si>
  <si>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</si>
  <si>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</si>
  <si>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</si>
  <si>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</si>
  <si>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</si>
  <si>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</si>
  <si>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</si>
  <si>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</si>
  <si>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</si>
  <si>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</si>
  <si>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</si>
  <si>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</si>
  <si>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</si>
  <si>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</si>
  <si>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</si>
  <si>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</si>
  <si>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</si>
  <si>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</si>
  <si>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</si>
  <si>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</si>
  <si>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</si>
  <si>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</si>
  <si>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</si>
  <si>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</si>
  <si>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</si>
  <si>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</si>
  <si>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</si>
  <si>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</si>
  <si>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</si>
  <si>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</si>
  <si>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</si>
  <si>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</si>
  <si>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</si>
  <si>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</si>
  <si>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</si>
  <si>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</si>
  <si>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</si>
  <si>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Apr</t>
  </si>
  <si>
    <t>Jun</t>
  </si>
  <si>
    <t>Years (Order Date)</t>
  </si>
  <si>
    <t>Months (Order Date)</t>
  </si>
  <si>
    <t>2019 Total</t>
  </si>
  <si>
    <t>Excelsa</t>
  </si>
  <si>
    <t>Liberica</t>
  </si>
  <si>
    <t>Robusta</t>
  </si>
  <si>
    <t>Sum of Sales</t>
  </si>
  <si>
    <t>Arabica</t>
  </si>
  <si>
    <t>Mar</t>
  </si>
  <si>
    <t>May</t>
  </si>
  <si>
    <t>Jan</t>
  </si>
  <si>
    <t>Feb</t>
  </si>
  <si>
    <t>Jul</t>
  </si>
  <si>
    <t>Aug</t>
  </si>
  <si>
    <t>Sep</t>
  </si>
  <si>
    <t>Oct</t>
  </si>
  <si>
    <t>Nov</t>
  </si>
  <si>
    <t>Dec</t>
  </si>
  <si>
    <t>2020</t>
  </si>
  <si>
    <t>2020 Total</t>
  </si>
  <si>
    <t>2021</t>
  </si>
  <si>
    <t>2021 Total</t>
  </si>
  <si>
    <t>2022</t>
  </si>
  <si>
    <t>2022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</si>
</sst>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_ ;\-[$$-409]#,##0\ "/>
  </numFmts>
  <fonts count="3" x14ac:knownFonts="1">
    <font>
      <sz val="11"/>
      <color theme="1"/>
      <name val="Calibri"/>
      <family val="2"/>
      <scheme val="minor"/>
    </font>
    <font>
      <sz val="11"/>
      <color indexed="8"/>
      <name val="Calibri"/>
      <family val="2"/>
    </font>
    <font>
      <sz val="11"/>
      <color rgb="FF3C14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0" fontId="2" fillId="0" borderId="0" xfId="0" applyFont="1"/>
    <xf numFmtId="14" fontId="0" fillId="0" borderId="0" xfId="0" applyNumberFormat="1"/>
    <xf numFmtId="168" fontId="0" fillId="0" borderId="0" xfId="0" applyNumberFormat="1"/>
  </cellXfs>
  <cellStyles count="1">
    <cellStyle name="Normal" xfId="0" builtinId="0"/>
  </cellStyles>
  <dxfs count="24">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_ ;\-[$$-409]#,##0\ "/>
    </dxf>
    <dxf>
      <numFmt numFmtId="169" formatCode="_-[$$-409]* #,##0_ ;_-[$$-409]* \-#,##0\ ;_-[$$-409]* &quot;-&quot;_ ;_-@_ "/>
    </dxf>
    <dxf>
      <numFmt numFmtId="168" formatCode="[$$-409]#,##0_ ;\-[$$-409]#,##0\ "/>
    </dxf>
    <dxf>
      <numFmt numFmtId="169" formatCode="_-[$$-409]* #,##0_ ;_-[$$-409]* \-#,##0\ ;_-[$$-409]* &quot;-&quot;_ ;_-@_ "/>
    </dxf>
    <dxf>
      <numFmt numFmtId="5" formatCode="#,##0;\-#,##0"/>
    </dxf>
    <dxf>
      <numFmt numFmtId="169" formatCode="_-[$$-409]* #,##0_ ;_-[$$-409]* \-#,##0\ ;_-[$$-409]* &quot;-&quot;_ ;_-@_ "/>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name val="Calibri"/>
        <family val="2"/>
        <scheme val="minor"/>
      </font>
    </dxf>
    <dxf>
      <font>
        <b/>
        <i val="0"/>
        <sz val="11"/>
        <color theme="0"/>
        <name val="Calibri"/>
        <family val="2"/>
        <scheme val="minor"/>
      </font>
      <fill>
        <patternFill>
          <bgColor rgb="FF3A1361"/>
        </patternFill>
      </fill>
    </dxf>
  </dxfs>
  <tableStyles count="3" defaultTableStyle="TableStyleMedium2" defaultPivotStyle="PivotStyleMedium9">
    <tableStyle name="Purple Style" pivot="0" table="0" count="6" xr9:uid="{8CBF3E80-9B85-468C-A02C-C39B9D79ABD9}">
      <tableStyleElement type="wholeTable" dxfId="23"/>
      <tableStyleElement type="headerRow" dxfId="22"/>
    </tableStyle>
    <tableStyle name="Purple Timeline Style" pivot="0" table="0" count="8" xr9:uid="{11250DDD-53D5-4784-9EDD-0E17F233F067}">
      <tableStyleElement type="wholeTable" dxfId="21"/>
      <tableStyleElement type="headerRow" dxfId="20"/>
    </tableStyle>
    <tableStyle name="Purple Timeline Style1" pivot="0" table="0" count="8" xr9:uid="{04463E7D-0FBA-4F91-97C9-0E8EB93D422E}">
      <tableStyleElement type="wholeTable" dxfId="19"/>
      <tableStyleElement type="headerRow" dxfId="18"/>
    </tableStyle>
  </tableStyles>
  <colors>
    <mruColors>
      <color rgb="FF3A1361"/>
      <color rgb="FFB0DD7F"/>
      <color rgb="FF00FA71"/>
      <color rgb="FFBEE395"/>
      <color rgb="FFE0CCF4"/>
      <color rgb="FFAB73E3"/>
      <color rgb="FF3C1464"/>
      <color rgb="FFC7A2EC"/>
      <color rgb="FFB8B8B8"/>
      <color rgb="FF78370A"/>
    </mruColors>
  </colors>
  <extLst>
    <ext xmlns:x14="http://schemas.microsoft.com/office/spreadsheetml/2009/9/main" uri="{46F421CA-312F-682f-3DD2-61675219B42D}">
      <x14:dxfs count="4">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tyle">
        <x14:slicerStyle name="Purple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AB73E3"/>
            </patternFill>
          </fill>
        </dxf>
        <dxf>
          <font>
            <b/>
            <i val="0"/>
            <sz val="9"/>
            <color theme="0"/>
            <name val="Calibri"/>
            <family val="2"/>
            <scheme val="minor"/>
          </font>
        </dxf>
        <dxf>
          <font>
            <b val="0"/>
            <i val="0"/>
            <sz val="9"/>
            <color theme="0"/>
            <name val="Calibri"/>
            <family val="2"/>
            <scheme val="minor"/>
          </font>
        </dxf>
        <dxf>
          <font>
            <b/>
            <i val="0"/>
            <sz val="10"/>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156-4CF2-A2F7-C4EE7FF24A9C}"/>
            </c:ext>
          </c:extLst>
        </c:ser>
        <c:ser>
          <c:idx val="1"/>
          <c:order val="1"/>
          <c:tx>
            <c:strRef>
              <c:f>TotalSales!$D$3:$D$4</c:f>
              <c:strCache>
                <c:ptCount val="1"/>
                <c:pt idx="0">
                  <c:v>Excelsa</c:v>
                </c:pt>
              </c:strCache>
            </c:strRef>
          </c:tx>
          <c:spPr>
            <a:ln w="28575" cap="rnd">
              <a:solidFill>
                <a:srgbClr val="78370A"/>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156-4CF2-A2F7-C4EE7FF24A9C}"/>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156-4CF2-A2F7-C4EE7FF24A9C}"/>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0156-4CF2-A2F7-C4EE7FF24A9C}"/>
            </c:ext>
          </c:extLst>
        </c:ser>
        <c:dLbls>
          <c:showLegendKey val="0"/>
          <c:showVal val="0"/>
          <c:showCatName val="0"/>
          <c:showSerName val="0"/>
          <c:showPercent val="0"/>
          <c:showBubbleSize val="0"/>
        </c:dLbls>
        <c:smooth val="0"/>
        <c:axId val="2133195199"/>
        <c:axId val="2133178879"/>
      </c:lineChart>
      <c:catAx>
        <c:axId val="213319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33178879"/>
        <c:crosses val="autoZero"/>
        <c:auto val="1"/>
        <c:lblAlgn val="ctr"/>
        <c:lblOffset val="100"/>
        <c:noMultiLvlLbl val="0"/>
      </c:catAx>
      <c:valAx>
        <c:axId val="213317887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layout>
            <c:manualLayout>
              <c:xMode val="edge"/>
              <c:yMode val="edge"/>
              <c:x val="1.2345679012345678E-2"/>
              <c:y val="0.383411559479177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3319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manualLayout>
          <c:xMode val="edge"/>
          <c:yMode val="edge"/>
          <c:x val="0.32586601792700448"/>
          <c:y val="6.0896395584139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00FA71"/>
          </a:solidFill>
          <a:ln>
            <a:noFill/>
          </a:ln>
          <a:effectLst/>
        </c:spP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A71"/>
          </a:solidFill>
          <a:ln>
            <a:noFill/>
          </a:ln>
          <a:effectLst/>
        </c:spPr>
      </c:pivotFmt>
      <c:pivotFmt>
        <c:idx val="5"/>
        <c:spPr>
          <a:solidFill>
            <a:srgbClr val="00FA71"/>
          </a:solidFill>
          <a:ln>
            <a:noFill/>
          </a:ln>
          <a:effectLst/>
        </c:spPr>
      </c:pivotFmt>
      <c:pivotFmt>
        <c:idx val="6"/>
        <c:spPr>
          <a:solidFill>
            <a:schemeClr val="accent6">
              <a:lumMod val="50000"/>
            </a:schemeClr>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A71"/>
          </a:solidFill>
          <a:ln>
            <a:noFill/>
          </a:ln>
          <a:effectLst/>
        </c:spPr>
      </c:pivotFmt>
      <c:pivotFmt>
        <c:idx val="9"/>
        <c:spPr>
          <a:solidFill>
            <a:srgbClr val="00FA71"/>
          </a:solidFill>
          <a:ln>
            <a:noFill/>
          </a:ln>
          <a:effectLst/>
        </c:spPr>
      </c:pivotFmt>
      <c:pivotFmt>
        <c:idx val="10"/>
        <c:spPr>
          <a:solidFill>
            <a:schemeClr val="accent6">
              <a:lumMod val="5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a:noFill/>
            </a:ln>
            <a:effectLst/>
          </c:spPr>
          <c:invertIfNegative val="0"/>
          <c:dPt>
            <c:idx val="0"/>
            <c:invertIfNegative val="0"/>
            <c:bubble3D val="0"/>
            <c:spPr>
              <a:solidFill>
                <a:srgbClr val="00FA71"/>
              </a:solidFill>
              <a:ln>
                <a:noFill/>
              </a:ln>
              <a:effectLst/>
            </c:spPr>
            <c:extLst>
              <c:ext xmlns:c16="http://schemas.microsoft.com/office/drawing/2014/chart" uri="{C3380CC4-5D6E-409C-BE32-E72D297353CC}">
                <c16:uniqueId val="{00000001-919E-4F16-8042-8AD7D221C060}"/>
              </c:ext>
            </c:extLst>
          </c:dPt>
          <c:dPt>
            <c:idx val="1"/>
            <c:invertIfNegative val="0"/>
            <c:bubble3D val="0"/>
            <c:spPr>
              <a:solidFill>
                <a:srgbClr val="00FA71"/>
              </a:solidFill>
              <a:ln>
                <a:noFill/>
              </a:ln>
              <a:effectLst/>
            </c:spPr>
            <c:extLst>
              <c:ext xmlns:c16="http://schemas.microsoft.com/office/drawing/2014/chart" uri="{C3380CC4-5D6E-409C-BE32-E72D297353CC}">
                <c16:uniqueId val="{00000003-919E-4F16-8042-8AD7D221C060}"/>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919E-4F16-8042-8AD7D221C0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19E-4F16-8042-8AD7D221C060}"/>
            </c:ext>
          </c:extLst>
        </c:ser>
        <c:dLbls>
          <c:dLblPos val="outEnd"/>
          <c:showLegendKey val="0"/>
          <c:showVal val="1"/>
          <c:showCatName val="0"/>
          <c:showSerName val="0"/>
          <c:showPercent val="0"/>
          <c:showBubbleSize val="0"/>
        </c:dLbls>
        <c:gapWidth val="182"/>
        <c:axId val="549554048"/>
        <c:axId val="549553088"/>
      </c:barChart>
      <c:catAx>
        <c:axId val="54955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53088"/>
        <c:crosses val="autoZero"/>
        <c:auto val="1"/>
        <c:lblAlgn val="ctr"/>
        <c:lblOffset val="100"/>
        <c:noMultiLvlLbl val="0"/>
      </c:catAx>
      <c:valAx>
        <c:axId val="549553088"/>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 Top5Customers!PivotTable1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 </a:t>
            </a:r>
          </a:p>
        </c:rich>
      </c:tx>
      <c:layout>
        <c:manualLayout>
          <c:xMode val="edge"/>
          <c:yMode val="edge"/>
          <c:x val="0.3101427474867528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00FA71"/>
          </a:solidFill>
          <a:ln>
            <a:noFill/>
          </a:ln>
          <a:effectLst/>
        </c:spPr>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A71"/>
          </a:solidFill>
          <a:ln>
            <a:noFill/>
          </a:ln>
          <a:effectLst/>
        </c:spPr>
      </c:pivotFmt>
      <c:pivotFmt>
        <c:idx val="5"/>
        <c:spPr>
          <a:solidFill>
            <a:srgbClr val="00FA71"/>
          </a:solidFill>
          <a:ln>
            <a:noFill/>
          </a:ln>
          <a:effectLst/>
        </c:spPr>
      </c:pivotFmt>
      <c:pivotFmt>
        <c:idx val="6"/>
        <c:spPr>
          <a:solidFill>
            <a:schemeClr val="accent6">
              <a:lumMod val="50000"/>
            </a:schemeClr>
          </a:solidFill>
          <a:ln>
            <a:noFill/>
          </a:ln>
          <a:effectLst/>
        </c:spPr>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Top5Customers'!$B$3</c:f>
              <c:strCache>
                <c:ptCount val="1"/>
                <c:pt idx="0">
                  <c:v>Total</c:v>
                </c:pt>
              </c:strCache>
            </c:strRef>
          </c:tx>
          <c:spPr>
            <a:solidFill>
              <a:srgbClr val="00B050"/>
            </a:solidFill>
            <a:ln>
              <a:noFill/>
            </a:ln>
            <a:effectLst/>
          </c:spPr>
          <c:invertIfNegative val="0"/>
          <c:dPt>
            <c:idx val="0"/>
            <c:invertIfNegative val="0"/>
            <c:bubble3D val="0"/>
            <c:extLst>
              <c:ext xmlns:c16="http://schemas.microsoft.com/office/drawing/2014/chart" uri="{C3380CC4-5D6E-409C-BE32-E72D297353CC}">
                <c16:uniqueId val="{00000000-0A13-453B-8FC0-E9C72A2AF069}"/>
              </c:ext>
            </c:extLst>
          </c:dPt>
          <c:dPt>
            <c:idx val="1"/>
            <c:invertIfNegative val="0"/>
            <c:bubble3D val="0"/>
            <c:extLst>
              <c:ext xmlns:c16="http://schemas.microsoft.com/office/drawing/2014/chart" uri="{C3380CC4-5D6E-409C-BE32-E72D297353CC}">
                <c16:uniqueId val="{00000001-0A13-453B-8FC0-E9C72A2AF069}"/>
              </c:ext>
            </c:extLst>
          </c:dPt>
          <c:dPt>
            <c:idx val="2"/>
            <c:invertIfNegative val="0"/>
            <c:bubble3D val="0"/>
            <c:extLst>
              <c:ext xmlns:c16="http://schemas.microsoft.com/office/drawing/2014/chart" uri="{C3380CC4-5D6E-409C-BE32-E72D297353CC}">
                <c16:uniqueId val="{00000002-0A13-453B-8FC0-E9C72A2AF0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Top5Customers'!$A$4:$A$9</c:f>
              <c:strCache>
                <c:ptCount val="5"/>
                <c:pt idx="0">
                  <c:v>Don Flintiff</c:v>
                </c:pt>
                <c:pt idx="1">
                  <c:v>Nealson Cuttler</c:v>
                </c:pt>
                <c:pt idx="2">
                  <c:v>Terri Farra</c:v>
                </c:pt>
                <c:pt idx="3">
                  <c:v>Brenn Dundredge</c:v>
                </c:pt>
                <c:pt idx="4">
                  <c:v>Allis Wilmore</c:v>
                </c:pt>
              </c:strCache>
            </c:strRef>
          </c:cat>
          <c:val>
            <c:numRef>
              <c:f>' Top5Customers'!$B$4:$B$9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A13-453B-8FC0-E9C72A2AF069}"/>
            </c:ext>
          </c:extLst>
        </c:ser>
        <c:dLbls>
          <c:dLblPos val="outEnd"/>
          <c:showLegendKey val="0"/>
          <c:showVal val="1"/>
          <c:showCatName val="0"/>
          <c:showSerName val="0"/>
          <c:showPercent val="0"/>
          <c:showBubbleSize val="0"/>
        </c:dLbls>
        <c:gapWidth val="182"/>
        <c:axId val="549554048"/>
        <c:axId val="549553088"/>
      </c:barChart>
      <c:catAx>
        <c:axId val="54955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53088"/>
        <c:crosses val="autoZero"/>
        <c:auto val="1"/>
        <c:lblAlgn val="ctr"/>
        <c:lblOffset val="100"/>
        <c:noMultiLvlLbl val="0"/>
      </c:catAx>
      <c:valAx>
        <c:axId val="549553088"/>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7620</xdr:rowOff>
    </xdr:from>
    <xdr:to>
      <xdr:col>25</xdr:col>
      <xdr:colOff>601980</xdr:colOff>
      <xdr:row>4</xdr:row>
      <xdr:rowOff>99060</xdr:rowOff>
    </xdr:to>
    <xdr:sp macro="" textlink="">
      <xdr:nvSpPr>
        <xdr:cNvPr id="3" name="Rectangle 2">
          <a:extLst>
            <a:ext uri="{FF2B5EF4-FFF2-40B4-BE49-F238E27FC236}">
              <a16:creationId xmlns:a16="http://schemas.microsoft.com/office/drawing/2014/main" id="{857A2FBB-A367-79BF-7169-B218303C76F7}"/>
            </a:ext>
          </a:extLst>
        </xdr:cNvPr>
        <xdr:cNvSpPr/>
      </xdr:nvSpPr>
      <xdr:spPr>
        <a:xfrm>
          <a:off x="137160" y="68580"/>
          <a:ext cx="15217140" cy="640080"/>
        </a:xfrm>
        <a:prstGeom prst="rect">
          <a:avLst/>
        </a:prstGeom>
        <a:solidFill>
          <a:srgbClr val="3A1361"/>
        </a:solidFill>
        <a:ln>
          <a:solidFill>
            <a:srgbClr val="3A136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COFEE SALES DASHBOARD</a:t>
          </a:r>
        </a:p>
      </xdr:txBody>
    </xdr:sp>
    <xdr:clientData/>
  </xdr:twoCellAnchor>
  <xdr:twoCellAnchor>
    <xdr:from>
      <xdr:col>1</xdr:col>
      <xdr:colOff>15240</xdr:colOff>
      <xdr:row>12</xdr:row>
      <xdr:rowOff>49530</xdr:rowOff>
    </xdr:from>
    <xdr:to>
      <xdr:col>10</xdr:col>
      <xdr:colOff>533400</xdr:colOff>
      <xdr:row>29</xdr:row>
      <xdr:rowOff>53340</xdr:rowOff>
    </xdr:to>
    <xdr:graphicFrame macro="">
      <xdr:nvGraphicFramePr>
        <xdr:cNvPr id="4" name="Chart 3">
          <a:extLst>
            <a:ext uri="{FF2B5EF4-FFF2-40B4-BE49-F238E27FC236}">
              <a16:creationId xmlns:a16="http://schemas.microsoft.com/office/drawing/2014/main" id="{58D0BD2E-5804-4BF8-B846-F973AEC98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129540</xdr:rowOff>
    </xdr:from>
    <xdr:to>
      <xdr:col>10</xdr:col>
      <xdr:colOff>510540</xdr:colOff>
      <xdr:row>12</xdr:row>
      <xdr:rowOff>38100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1460610F-BF70-4CF2-90E9-9AE53683861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920" y="739140"/>
              <a:ext cx="59969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525780</xdr:colOff>
      <xdr:row>4</xdr:row>
      <xdr:rowOff>121921</xdr:rowOff>
    </xdr:from>
    <xdr:to>
      <xdr:col>26</xdr:col>
      <xdr:colOff>15240</xdr:colOff>
      <xdr:row>8</xdr:row>
      <xdr:rowOff>45721</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03296787-6962-445F-BFA7-01C1622810A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134100" y="731521"/>
              <a:ext cx="390906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8</xdr:row>
      <xdr:rowOff>68580</xdr:rowOff>
    </xdr:from>
    <xdr:to>
      <xdr:col>13</xdr:col>
      <xdr:colOff>533400</xdr:colOff>
      <xdr:row>13</xdr:row>
      <xdr:rowOff>114300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E42DBA26-C826-4B6A-8972-DE1D680F2E3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141720" y="1409700"/>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510540</xdr:colOff>
      <xdr:row>8</xdr:row>
      <xdr:rowOff>68580</xdr:rowOff>
    </xdr:from>
    <xdr:to>
      <xdr:col>26</xdr:col>
      <xdr:colOff>22860</xdr:colOff>
      <xdr:row>13</xdr:row>
      <xdr:rowOff>106680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05F82CBA-5FF9-40BD-BC9B-31D91F10108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947660" y="1409700"/>
              <a:ext cx="210312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525780</xdr:colOff>
      <xdr:row>13</xdr:row>
      <xdr:rowOff>106680</xdr:rowOff>
    </xdr:from>
    <xdr:to>
      <xdr:col>26</xdr:col>
      <xdr:colOff>22860</xdr:colOff>
      <xdr:row>21</xdr:row>
      <xdr:rowOff>30480</xdr:rowOff>
    </xdr:to>
    <xdr:graphicFrame macro="">
      <xdr:nvGraphicFramePr>
        <xdr:cNvPr id="9" name="Chart 8">
          <a:extLst>
            <a:ext uri="{FF2B5EF4-FFF2-40B4-BE49-F238E27FC236}">
              <a16:creationId xmlns:a16="http://schemas.microsoft.com/office/drawing/2014/main" id="{C0959D9F-091E-4E44-95FD-459B9F68B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21</xdr:row>
      <xdr:rowOff>22860</xdr:rowOff>
    </xdr:from>
    <xdr:to>
      <xdr:col>26</xdr:col>
      <xdr:colOff>15240</xdr:colOff>
      <xdr:row>29</xdr:row>
      <xdr:rowOff>45720</xdr:rowOff>
    </xdr:to>
    <xdr:graphicFrame macro="">
      <xdr:nvGraphicFramePr>
        <xdr:cNvPr id="10" name="Chart 9">
          <a:extLst>
            <a:ext uri="{FF2B5EF4-FFF2-40B4-BE49-F238E27FC236}">
              <a16:creationId xmlns:a16="http://schemas.microsoft.com/office/drawing/2014/main" id="{836847F7-5E96-4B8D-9896-E29AC72BB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diya mysiya" refreshedDate="45868.496867708331" createdVersion="8" refreshedVersion="8" minRefreshableVersion="3" recordCount="1000" xr:uid="{A382FF21-C143-4FFB-99B6-88F99EE6D3A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30372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4F7D3-C59F-4706-A5F2-F3115EF5F761}"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numFmtId="14"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6" numFmtId="37"/>
  </dataFields>
  <formats count="2">
    <format dxfId="17">
      <pivotArea outline="0" collapsedLevelsAreSubtotals="1" fieldPosition="0"/>
    </format>
    <format dxfId="16">
      <pivotArea outline="0" fieldPosition="0">
        <references count="1">
          <reference field="4294967294" count="1">
            <x v="0"/>
          </reference>
        </references>
      </pivotArea>
    </format>
  </formats>
  <chartFormats count="4">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4B2C6-6860-4BAE-99A7-7A4D01FBD7BF}"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4">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8"/>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5">
    <chartFormat chart="1" format="4"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7" count="1" selected="0">
            <x v="1"/>
          </reference>
        </references>
      </pivotArea>
    </chartFormat>
    <chartFormat chart="23" format="9">
      <pivotArea type="data" outline="0" fieldPosition="0">
        <references count="2">
          <reference field="4294967294" count="1" selected="0">
            <x v="0"/>
          </reference>
          <reference field="7" count="1" selected="0">
            <x v="0"/>
          </reference>
        </references>
      </pivotArea>
    </chartFormat>
    <chartFormat chart="23" format="10">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3620B-01EF-48D4-B071-6F9B5CF1523C}"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5">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6">
    <chartFormat chart="1" format="4"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0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9FEA95A-D4EE-4F72-A5A7-E3943974ADAF}" sourceName="Roast Type Name">
  <pivotTables>
    <pivotTable tabId="18" name="PivotTable1"/>
    <pivotTable tabId="20" name="PivotTable1"/>
    <pivotTable tabId="19" name="PivotTable1"/>
  </pivotTables>
  <data>
    <tabular pivotCacheId="103037222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44459CA-071B-48A3-98BB-4F9F080907BC}" sourceName="Loyalty Card">
  <pivotTables>
    <pivotTable tabId="18" name="PivotTable1"/>
    <pivotTable tabId="20" name="PivotTable1"/>
    <pivotTable tabId="19" name="PivotTable1"/>
  </pivotTables>
  <data>
    <tabular pivotCacheId="103037222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4C14894-562A-4358-9D49-E17F14027DD0}" sourceName="Size">
  <pivotTables>
    <pivotTable tabId="18" name="PivotTable1"/>
    <pivotTable tabId="20" name="PivotTable1"/>
    <pivotTable tabId="19" name="PivotTable1"/>
  </pivotTables>
  <data>
    <tabular pivotCacheId="103037222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B985B066-9B30-4D6F-9350-F837B37C0CD7}" cache="Slicer_Roast_Type_Name" caption="Roast Type Name" columnCount="3" rowHeight="234950"/>
  <slicer name="Loyalty Card" xr10:uid="{551B3498-1A45-4456-B788-B30044E99295}" cache="Slicer_Loyalty_Card" caption="Loyalty Card" rowHeight="234950"/>
  <slicer name="Size" xr10:uid="{A783DC76-5DDD-40B0-8AF9-CC8ABEF1696A}" cache="Slicer_Size" caption="Siz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4FF3C-1164-4717-87D6-82F09F99D506}" name="Orders" displayName="Orders" ref="A1:P1001" totalsRowShown="0" headerRowDxfId="11">
  <autoFilter ref="A1:P1001" xr:uid="{91D4FF3C-1164-4717-87D6-82F09F99D506}"/>
  <tableColumns count="16">
    <tableColumn id="1" xr3:uid="{E0EF67C5-10D8-4714-915B-1510B4331470}" name="Order ID" dataDxfId="10"/>
    <tableColumn id="2" xr3:uid="{48A0DE5E-30BD-4477-BE4D-B6534FDE047E}" name="Order Date" dataDxfId="9"/>
    <tableColumn id="3" xr3:uid="{903545B8-5368-463C-BAD3-F7D70EBC9706}" name="Customer ID" dataDxfId="8"/>
    <tableColumn id="4" xr3:uid="{46F28514-336A-4B62-8C78-600F962A587F}" name="Product ID"/>
    <tableColumn id="5" xr3:uid="{DC1F677E-51D1-42FF-B1AF-416A75A9246A}" name="Quantity" dataDxfId="7"/>
    <tableColumn id="6" xr3:uid="{DB3ECE0C-DEB6-4ADB-AD91-BBD8E16D2EEA}" name="Customer Name" dataDxfId="6">
      <calculatedColumnFormula>_xlfn.XLOOKUP(C2,customers!$A$1:$A$1001,customers!$B$1:$B$1001,0)</calculatedColumnFormula>
    </tableColumn>
    <tableColumn id="7" xr3:uid="{177A11A4-F122-4897-B199-8759342C61CF}" name="Email" dataDxfId="5">
      <calculatedColumnFormula>IF(_xlfn.XLOOKUP(C2,customers!$A$1:$A$1001,customers!$C$1:$C$1001,0)=0,"",_xlfn.XLOOKUP(C2,customers!$A$1:$A$1001,customers!$C$1:$C$1001,0))</calculatedColumnFormula>
    </tableColumn>
    <tableColumn id="8" xr3:uid="{33FF01FA-6ADE-4401-8A7A-78C755C93071}" name="Country" dataDxfId="4">
      <calculatedColumnFormula>_xlfn.XLOOKUP(C2,customers!$A$1:$A$1001,customers!$G$1:$G$1001,0)</calculatedColumnFormula>
    </tableColumn>
    <tableColumn id="9" xr3:uid="{5E8F26EE-E5B4-4E11-BCA0-C982C6A35AE0}" name="Coffee Type">
      <calculatedColumnFormula>INDEX(products!$A$1:$G$49,MATCH(orders!$D2,products!$A$1:$A$49,0),MATCH(orders!I$1,products!$A$1:$G$1,0))</calculatedColumnFormula>
    </tableColumn>
    <tableColumn id="10" xr3:uid="{28EDD817-F7EF-40F8-8087-A7F9B2DE0998}" name="Roast Type">
      <calculatedColumnFormula>INDEX(products!$A$1:$G$49,MATCH(orders!$D2,products!$A$1:$A$49,0),MATCH(orders!J$1,products!$A$1:$G$1,0))</calculatedColumnFormula>
    </tableColumn>
    <tableColumn id="11" xr3:uid="{E5B00915-EF56-438D-9E05-3C339476D2FF}" name="Size" dataDxfId="3">
      <calculatedColumnFormula>INDEX(products!$A$1:$G$49,MATCH(orders!$D2,products!$A$1:$A$49,0),MATCH(orders!K$1,products!$A$1:$G$1,0))</calculatedColumnFormula>
    </tableColumn>
    <tableColumn id="12" xr3:uid="{F03DE19A-9988-4459-9360-BE0F37348F73}" name="Unit Price" dataDxfId="2">
      <calculatedColumnFormula>INDEX(products!$A$1:$G$49,MATCH(orders!$D2,products!$A$1:$A$49,0),MATCH(orders!L$1,products!$A$1:$G$1,0))</calculatedColumnFormula>
    </tableColumn>
    <tableColumn id="13" xr3:uid="{67634C01-20AC-4D49-B084-F1B508FFBB73}" name="Sales" dataDxfId="1">
      <calculatedColumnFormula>L2*E2</calculatedColumnFormula>
    </tableColumn>
    <tableColumn id="14" xr3:uid="{42D7D5C4-7F92-4C2A-A6C5-F38DDEAA0E48}" name="Coffee Type Name">
      <calculatedColumnFormula>IF(I2="Rob","Robusta",IF(I2="Exc","Excelsa",IF(I2="Ara","Arabica",IF(I2="Lib","Liberica",""))))</calculatedColumnFormula>
    </tableColumn>
    <tableColumn id="15" xr3:uid="{B649AF11-FB8E-4E4C-8185-7AA165354325}" name="Roast Type Name">
      <calculatedColumnFormula>IF(J2="M","Medium",IF(J2="L","Light",IF(J2="D","Dark","")))</calculatedColumnFormula>
    </tableColumn>
    <tableColumn id="16" xr3:uid="{A9D320B6-C918-4D66-A3BA-02F705CC5191}" name="Loyalty Card" dataDxfId="0">
      <calculatedColumnFormula>_xlfn.XLOOKUP(Orders[[#This Row],[Customer ID]],customers!$A$1:$A$1001,customers!$I$1:$I$1001,,0)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C415D9A-111B-4257-9AFB-2EF1D0F2CD17}" sourceName="Order Date">
  <pivotTables>
    <pivotTable tabId="18" name="PivotTable1"/>
    <pivotTable tabId="20" name="PivotTable1"/>
    <pivotTable tabId="19" name="PivotTable1"/>
  </pivotTables>
  <state minimalRefreshVersion="6" lastRefreshVersion="6" pivotCacheId="10303722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6BF7197-B974-4629-BDC2-A8359C554B27}" cache="NativeTimeline_Order_Date" caption="Order Date" level="2" selectionLevel="2" scrollPosition="2020-06-20T00:00:00" style="Purple Timeline Style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24AB-13F1-425B-B3D4-2F626D6A4A25}">
  <dimension ref="A3:P53"/>
  <sheetViews>
    <sheetView topLeftCell="F1" workbookViewId="0">
      <selection activeCell="J21" sqref="J21"/>
    </sheetView>
  </sheetViews>
  <sheetFormatPr defaultRowHeight="14.4" x14ac:dyDescent="0.3"/>
  <cols>
    <col min="1" max="1" width="18.6640625" bestFit="1" customWidth="1"/>
    <col min="2" max="2" width="20.88671875" bestFit="1" customWidth="1"/>
    <col min="3" max="6" width="18.88671875" bestFit="1" customWidth="1"/>
    <col min="7" max="7" width="10.77734375" bestFit="1" customWidth="1"/>
  </cols>
  <sheetData>
    <row r="3" spans="1:16" x14ac:dyDescent="0.3">
      <c r="A3" s="6" t="s">
        <v>6208</v>
      </c>
      <c r="C3" s="6" t="s">
        <v>6196</v>
      </c>
      <c r="P3" s="8"/>
    </row>
    <row r="4" spans="1:16" x14ac:dyDescent="0.3">
      <c r="A4" s="6" t="s">
        <v>6202</v>
      </c>
      <c r="B4" s="6" t="s">
        <v>6203</v>
      </c>
      <c r="C4" t="s">
        <v>6209</v>
      </c>
      <c r="D4" t="s">
        <v>6205</v>
      </c>
      <c r="E4" t="s">
        <v>6206</v>
      </c>
      <c r="F4" t="s">
        <v>6207</v>
      </c>
      <c r="G4" t="s">
        <v>6198</v>
      </c>
    </row>
    <row r="5" spans="1:16" x14ac:dyDescent="0.3">
      <c r="A5" t="s">
        <v>6199</v>
      </c>
      <c r="B5" s="9" t="s">
        <v>6212</v>
      </c>
      <c r="C5" s="7">
        <v>186.85499999999999</v>
      </c>
      <c r="D5" s="7">
        <v>305.97000000000003</v>
      </c>
      <c r="E5" s="7">
        <v>213.15999999999997</v>
      </c>
      <c r="F5" s="7">
        <v>123</v>
      </c>
      <c r="G5" s="7">
        <v>828.98500000000001</v>
      </c>
    </row>
    <row r="6" spans="1:16" x14ac:dyDescent="0.3">
      <c r="B6" s="9" t="s">
        <v>6213</v>
      </c>
      <c r="C6" s="7">
        <v>251.96499999999997</v>
      </c>
      <c r="D6" s="7">
        <v>129.46</v>
      </c>
      <c r="E6" s="7">
        <v>434.03999999999996</v>
      </c>
      <c r="F6" s="7">
        <v>171.93999999999997</v>
      </c>
      <c r="G6" s="7">
        <v>987.40499999999986</v>
      </c>
    </row>
    <row r="7" spans="1:16" x14ac:dyDescent="0.3">
      <c r="B7" s="9" t="s">
        <v>6210</v>
      </c>
      <c r="C7" s="7">
        <v>224.94499999999999</v>
      </c>
      <c r="D7" s="7">
        <v>349.12</v>
      </c>
      <c r="E7" s="7">
        <v>321.04000000000002</v>
      </c>
      <c r="F7" s="7">
        <v>126.035</v>
      </c>
      <c r="G7" s="7">
        <v>1021.14</v>
      </c>
    </row>
    <row r="8" spans="1:16" x14ac:dyDescent="0.3">
      <c r="B8" s="9" t="s">
        <v>6200</v>
      </c>
      <c r="C8" s="7">
        <v>307.12</v>
      </c>
      <c r="D8" s="7">
        <v>681.07499999999993</v>
      </c>
      <c r="E8" s="7">
        <v>533.70499999999993</v>
      </c>
      <c r="F8" s="7">
        <v>158.85</v>
      </c>
      <c r="G8" s="7">
        <v>1680.7499999999998</v>
      </c>
    </row>
    <row r="9" spans="1:16" x14ac:dyDescent="0.3">
      <c r="B9" s="9" t="s">
        <v>6211</v>
      </c>
      <c r="C9" s="7">
        <v>53.664999999999992</v>
      </c>
      <c r="D9" s="7">
        <v>83.025000000000006</v>
      </c>
      <c r="E9" s="7">
        <v>193.83499999999998</v>
      </c>
      <c r="F9" s="7">
        <v>68.039999999999992</v>
      </c>
      <c r="G9" s="7">
        <v>398.56499999999994</v>
      </c>
    </row>
    <row r="10" spans="1:16" x14ac:dyDescent="0.3">
      <c r="B10" s="9" t="s">
        <v>6201</v>
      </c>
      <c r="C10" s="7">
        <v>163.01999999999998</v>
      </c>
      <c r="D10" s="7">
        <v>678.3599999999999</v>
      </c>
      <c r="E10" s="7">
        <v>171.04500000000002</v>
      </c>
      <c r="F10" s="7">
        <v>372.255</v>
      </c>
      <c r="G10" s="7">
        <v>1384.6799999999998</v>
      </c>
    </row>
    <row r="11" spans="1:16" x14ac:dyDescent="0.3">
      <c r="B11" s="9" t="s">
        <v>6214</v>
      </c>
      <c r="C11" s="7">
        <v>345.02</v>
      </c>
      <c r="D11" s="7">
        <v>273.86999999999995</v>
      </c>
      <c r="E11" s="7">
        <v>184.12999999999997</v>
      </c>
      <c r="F11" s="7">
        <v>201.11499999999998</v>
      </c>
      <c r="G11" s="7">
        <v>1004.1349999999999</v>
      </c>
    </row>
    <row r="12" spans="1:16" x14ac:dyDescent="0.3">
      <c r="B12" s="9" t="s">
        <v>6215</v>
      </c>
      <c r="C12" s="7">
        <v>334.89</v>
      </c>
      <c r="D12" s="7">
        <v>70.95</v>
      </c>
      <c r="E12" s="7">
        <v>134.23000000000002</v>
      </c>
      <c r="F12" s="7">
        <v>166.27499999999998</v>
      </c>
      <c r="G12" s="7">
        <v>706.34499999999991</v>
      </c>
    </row>
    <row r="13" spans="1:16" x14ac:dyDescent="0.3">
      <c r="B13" s="9" t="s">
        <v>6216</v>
      </c>
      <c r="C13" s="7">
        <v>178.70999999999998</v>
      </c>
      <c r="D13" s="7">
        <v>166.1</v>
      </c>
      <c r="E13" s="7">
        <v>439.30999999999995</v>
      </c>
      <c r="F13" s="7">
        <v>492.9</v>
      </c>
      <c r="G13" s="7">
        <v>1277.02</v>
      </c>
    </row>
    <row r="14" spans="1:16" x14ac:dyDescent="0.3">
      <c r="B14" s="9" t="s">
        <v>6217</v>
      </c>
      <c r="C14" s="7">
        <v>301.98500000000001</v>
      </c>
      <c r="D14" s="7">
        <v>153.76499999999999</v>
      </c>
      <c r="E14" s="7">
        <v>215.55499999999998</v>
      </c>
      <c r="F14" s="7">
        <v>213.66499999999999</v>
      </c>
      <c r="G14" s="7">
        <v>884.96999999999991</v>
      </c>
    </row>
    <row r="15" spans="1:16" x14ac:dyDescent="0.3">
      <c r="B15" s="9" t="s">
        <v>6218</v>
      </c>
      <c r="C15" s="7">
        <v>312.83499999999998</v>
      </c>
      <c r="D15" s="7">
        <v>63.249999999999993</v>
      </c>
      <c r="E15" s="7">
        <v>350.89500000000004</v>
      </c>
      <c r="F15" s="7">
        <v>96.405000000000001</v>
      </c>
      <c r="G15" s="7">
        <v>823.38499999999999</v>
      </c>
    </row>
    <row r="16" spans="1:16" x14ac:dyDescent="0.3">
      <c r="B16" s="9" t="s">
        <v>6219</v>
      </c>
      <c r="C16" s="7">
        <v>265.62</v>
      </c>
      <c r="D16" s="7">
        <v>526.51499999999987</v>
      </c>
      <c r="E16" s="7">
        <v>187.06</v>
      </c>
      <c r="F16" s="7">
        <v>210.58999999999997</v>
      </c>
      <c r="G16" s="7">
        <v>1189.7849999999999</v>
      </c>
    </row>
    <row r="17" spans="1:7" x14ac:dyDescent="0.3">
      <c r="A17" t="s">
        <v>6204</v>
      </c>
      <c r="C17" s="7">
        <v>2926.63</v>
      </c>
      <c r="D17" s="7">
        <v>3481.4599999999996</v>
      </c>
      <c r="E17" s="7">
        <v>3378.0049999999997</v>
      </c>
      <c r="F17" s="7">
        <v>2401.0700000000002</v>
      </c>
      <c r="G17" s="7">
        <v>12187.164999999999</v>
      </c>
    </row>
    <row r="18" spans="1:7" x14ac:dyDescent="0.3">
      <c r="A18" t="s">
        <v>6220</v>
      </c>
      <c r="B18" s="9" t="s">
        <v>6212</v>
      </c>
      <c r="C18" s="7">
        <v>47.25</v>
      </c>
      <c r="D18" s="7">
        <v>65.805000000000007</v>
      </c>
      <c r="E18" s="7">
        <v>274.67500000000001</v>
      </c>
      <c r="F18" s="7">
        <v>179.22</v>
      </c>
      <c r="G18" s="7">
        <v>566.95000000000005</v>
      </c>
    </row>
    <row r="19" spans="1:7" x14ac:dyDescent="0.3">
      <c r="B19" s="9" t="s">
        <v>6213</v>
      </c>
      <c r="C19" s="7">
        <v>745.44999999999993</v>
      </c>
      <c r="D19" s="7">
        <v>428.88499999999999</v>
      </c>
      <c r="E19" s="7">
        <v>194.17499999999998</v>
      </c>
      <c r="F19" s="7">
        <v>429.82999999999993</v>
      </c>
      <c r="G19" s="7">
        <v>1798.34</v>
      </c>
    </row>
    <row r="20" spans="1:7" x14ac:dyDescent="0.3">
      <c r="B20" s="9" t="s">
        <v>6210</v>
      </c>
      <c r="C20" s="7">
        <v>130.47</v>
      </c>
      <c r="D20" s="7">
        <v>271.48500000000001</v>
      </c>
      <c r="E20" s="7">
        <v>281.20499999999998</v>
      </c>
      <c r="F20" s="7">
        <v>231.63000000000002</v>
      </c>
      <c r="G20" s="7">
        <v>914.79000000000008</v>
      </c>
    </row>
    <row r="21" spans="1:7" x14ac:dyDescent="0.3">
      <c r="B21" s="9" t="s">
        <v>6200</v>
      </c>
      <c r="C21" s="7">
        <v>27</v>
      </c>
      <c r="D21" s="7">
        <v>347.26</v>
      </c>
      <c r="E21" s="7">
        <v>147.51</v>
      </c>
      <c r="F21" s="7">
        <v>240.04</v>
      </c>
      <c r="G21" s="7">
        <v>761.81</v>
      </c>
    </row>
    <row r="22" spans="1:7" x14ac:dyDescent="0.3">
      <c r="B22" s="9" t="s">
        <v>6211</v>
      </c>
      <c r="C22" s="7">
        <v>255.11499999999995</v>
      </c>
      <c r="D22" s="7">
        <v>541.73</v>
      </c>
      <c r="E22" s="7">
        <v>83.43</v>
      </c>
      <c r="F22" s="7">
        <v>59.079999999999991</v>
      </c>
      <c r="G22" s="7">
        <v>939.35500000000013</v>
      </c>
    </row>
    <row r="23" spans="1:7" x14ac:dyDescent="0.3">
      <c r="B23" s="9" t="s">
        <v>6201</v>
      </c>
      <c r="C23" s="7">
        <v>584.78999999999985</v>
      </c>
      <c r="D23" s="7">
        <v>357.42999999999995</v>
      </c>
      <c r="E23" s="7">
        <v>355.34</v>
      </c>
      <c r="F23" s="7">
        <v>140.88</v>
      </c>
      <c r="G23" s="7">
        <v>1438.4399999999996</v>
      </c>
    </row>
    <row r="24" spans="1:7" x14ac:dyDescent="0.3">
      <c r="B24" s="9" t="s">
        <v>6214</v>
      </c>
      <c r="C24" s="7">
        <v>430.62</v>
      </c>
      <c r="D24" s="7">
        <v>227.42500000000001</v>
      </c>
      <c r="E24" s="7">
        <v>236.315</v>
      </c>
      <c r="F24" s="7">
        <v>414.58499999999992</v>
      </c>
      <c r="G24" s="7">
        <v>1308.9450000000002</v>
      </c>
    </row>
    <row r="25" spans="1:7" x14ac:dyDescent="0.3">
      <c r="B25" s="9" t="s">
        <v>6215</v>
      </c>
      <c r="C25" s="7">
        <v>22.5</v>
      </c>
      <c r="D25" s="7">
        <v>77.72</v>
      </c>
      <c r="E25" s="7">
        <v>60.5</v>
      </c>
      <c r="F25" s="7">
        <v>139.67999999999998</v>
      </c>
      <c r="G25" s="7">
        <v>300.39999999999998</v>
      </c>
    </row>
    <row r="26" spans="1:7" x14ac:dyDescent="0.3">
      <c r="B26" s="9" t="s">
        <v>6216</v>
      </c>
      <c r="C26" s="7">
        <v>126.14999999999999</v>
      </c>
      <c r="D26" s="7">
        <v>195.11</v>
      </c>
      <c r="E26" s="7">
        <v>89.13</v>
      </c>
      <c r="F26" s="7">
        <v>302.65999999999997</v>
      </c>
      <c r="G26" s="7">
        <v>713.05</v>
      </c>
    </row>
    <row r="27" spans="1:7" x14ac:dyDescent="0.3">
      <c r="B27" s="9" t="s">
        <v>6217</v>
      </c>
      <c r="C27" s="7">
        <v>376.03</v>
      </c>
      <c r="D27" s="7">
        <v>523.24</v>
      </c>
      <c r="E27" s="7">
        <v>440.96499999999997</v>
      </c>
      <c r="F27" s="7">
        <v>174.46999999999997</v>
      </c>
      <c r="G27" s="7">
        <v>1514.7049999999999</v>
      </c>
    </row>
    <row r="28" spans="1:7" x14ac:dyDescent="0.3">
      <c r="B28" s="9" t="s">
        <v>6218</v>
      </c>
      <c r="C28" s="7">
        <v>515.17999999999995</v>
      </c>
      <c r="D28" s="7">
        <v>142.56</v>
      </c>
      <c r="E28" s="7">
        <v>347.03999999999996</v>
      </c>
      <c r="F28" s="7">
        <v>104.08499999999999</v>
      </c>
      <c r="G28" s="7">
        <v>1108.865</v>
      </c>
    </row>
    <row r="29" spans="1:7" x14ac:dyDescent="0.3">
      <c r="B29" s="9" t="s">
        <v>6219</v>
      </c>
      <c r="C29" s="7">
        <v>95.859999999999985</v>
      </c>
      <c r="D29" s="7">
        <v>484.76</v>
      </c>
      <c r="E29" s="7">
        <v>94.17</v>
      </c>
      <c r="F29" s="7">
        <v>77.10499999999999</v>
      </c>
      <c r="G29" s="7">
        <v>751.89499999999998</v>
      </c>
    </row>
    <row r="30" spans="1:7" x14ac:dyDescent="0.3">
      <c r="A30" t="s">
        <v>6221</v>
      </c>
      <c r="C30" s="7">
        <v>3356.415</v>
      </c>
      <c r="D30" s="7">
        <v>3663.41</v>
      </c>
      <c r="E30" s="7">
        <v>2604.4550000000004</v>
      </c>
      <c r="F30" s="7">
        <v>2493.2649999999999</v>
      </c>
      <c r="G30" s="7">
        <v>12117.544999999998</v>
      </c>
    </row>
    <row r="31" spans="1:7" x14ac:dyDescent="0.3">
      <c r="A31" t="s">
        <v>6222</v>
      </c>
      <c r="B31" s="9" t="s">
        <v>6212</v>
      </c>
      <c r="C31" s="7">
        <v>258.34500000000003</v>
      </c>
      <c r="D31" s="7">
        <v>139.625</v>
      </c>
      <c r="E31" s="7">
        <v>279.52000000000004</v>
      </c>
      <c r="F31" s="7">
        <v>160.19499999999999</v>
      </c>
      <c r="G31" s="7">
        <v>837.68499999999995</v>
      </c>
    </row>
    <row r="32" spans="1:7" x14ac:dyDescent="0.3">
      <c r="B32" s="9" t="s">
        <v>6213</v>
      </c>
      <c r="C32" s="7">
        <v>342.2</v>
      </c>
      <c r="D32" s="7">
        <v>284.24999999999994</v>
      </c>
      <c r="E32" s="7">
        <v>251.83</v>
      </c>
      <c r="F32" s="7">
        <v>80.550000000000011</v>
      </c>
      <c r="G32" s="7">
        <v>958.82999999999993</v>
      </c>
    </row>
    <row r="33" spans="1:7" x14ac:dyDescent="0.3">
      <c r="B33" s="9" t="s">
        <v>6210</v>
      </c>
      <c r="C33" s="7">
        <v>418.30499999999989</v>
      </c>
      <c r="D33" s="7">
        <v>468.125</v>
      </c>
      <c r="E33" s="7">
        <v>405.05500000000006</v>
      </c>
      <c r="F33" s="7">
        <v>253.15499999999997</v>
      </c>
      <c r="G33" s="7">
        <v>1544.6399999999999</v>
      </c>
    </row>
    <row r="34" spans="1:7" x14ac:dyDescent="0.3">
      <c r="B34" s="9" t="s">
        <v>6200</v>
      </c>
      <c r="C34" s="7">
        <v>102.32999999999998</v>
      </c>
      <c r="D34" s="7">
        <v>242.14000000000001</v>
      </c>
      <c r="E34" s="7">
        <v>554.875</v>
      </c>
      <c r="F34" s="7">
        <v>106.23999999999998</v>
      </c>
      <c r="G34" s="7">
        <v>1005.585</v>
      </c>
    </row>
    <row r="35" spans="1:7" x14ac:dyDescent="0.3">
      <c r="B35" s="9" t="s">
        <v>6211</v>
      </c>
      <c r="C35" s="7">
        <v>234.71999999999997</v>
      </c>
      <c r="D35" s="7">
        <v>133.08000000000001</v>
      </c>
      <c r="E35" s="7">
        <v>267.2</v>
      </c>
      <c r="F35" s="7">
        <v>272.68999999999994</v>
      </c>
      <c r="G35" s="7">
        <v>907.68999999999994</v>
      </c>
    </row>
    <row r="36" spans="1:7" x14ac:dyDescent="0.3">
      <c r="B36" s="9" t="s">
        <v>6201</v>
      </c>
      <c r="C36" s="7">
        <v>430.39</v>
      </c>
      <c r="D36" s="7">
        <v>136.20500000000001</v>
      </c>
      <c r="E36" s="7">
        <v>209.6</v>
      </c>
      <c r="F36" s="7">
        <v>88.334999999999994</v>
      </c>
      <c r="G36" s="7">
        <v>864.53000000000009</v>
      </c>
    </row>
    <row r="37" spans="1:7" x14ac:dyDescent="0.3">
      <c r="B37" s="9" t="s">
        <v>6214</v>
      </c>
      <c r="C37" s="7">
        <v>109.005</v>
      </c>
      <c r="D37" s="7">
        <v>393.57499999999999</v>
      </c>
      <c r="E37" s="7">
        <v>61.034999999999997</v>
      </c>
      <c r="F37" s="7">
        <v>199.48999999999998</v>
      </c>
      <c r="G37" s="7">
        <v>763.10500000000002</v>
      </c>
    </row>
    <row r="38" spans="1:7" x14ac:dyDescent="0.3">
      <c r="B38" s="9" t="s">
        <v>6215</v>
      </c>
      <c r="C38" s="7">
        <v>287.52499999999998</v>
      </c>
      <c r="D38" s="7">
        <v>288.67</v>
      </c>
      <c r="E38" s="7">
        <v>125.58</v>
      </c>
      <c r="F38" s="7">
        <v>374.13499999999999</v>
      </c>
      <c r="G38" s="7">
        <v>1075.9099999999999</v>
      </c>
    </row>
    <row r="39" spans="1:7" x14ac:dyDescent="0.3">
      <c r="B39" s="9" t="s">
        <v>6216</v>
      </c>
      <c r="C39" s="7">
        <v>840.92999999999984</v>
      </c>
      <c r="D39" s="7">
        <v>409.875</v>
      </c>
      <c r="E39" s="7">
        <v>171.32999999999998</v>
      </c>
      <c r="F39" s="7">
        <v>221.43999999999997</v>
      </c>
      <c r="G39" s="7">
        <v>1643.5749999999998</v>
      </c>
    </row>
    <row r="40" spans="1:7" x14ac:dyDescent="0.3">
      <c r="B40" s="9" t="s">
        <v>6217</v>
      </c>
      <c r="C40" s="7">
        <v>299.07</v>
      </c>
      <c r="D40" s="7">
        <v>260.32499999999999</v>
      </c>
      <c r="E40" s="7">
        <v>584.64</v>
      </c>
      <c r="F40" s="7">
        <v>256.36500000000001</v>
      </c>
      <c r="G40" s="7">
        <v>1400.3999999999999</v>
      </c>
    </row>
    <row r="41" spans="1:7" x14ac:dyDescent="0.3">
      <c r="B41" s="9" t="s">
        <v>6218</v>
      </c>
      <c r="C41" s="7">
        <v>323.32499999999999</v>
      </c>
      <c r="D41" s="7">
        <v>565.57000000000005</v>
      </c>
      <c r="E41" s="7">
        <v>537.80999999999995</v>
      </c>
      <c r="F41" s="7">
        <v>189.47499999999999</v>
      </c>
      <c r="G41" s="7">
        <v>1616.1799999999998</v>
      </c>
    </row>
    <row r="42" spans="1:7" x14ac:dyDescent="0.3">
      <c r="B42" s="9" t="s">
        <v>6219</v>
      </c>
      <c r="C42" s="7">
        <v>399.48499999999996</v>
      </c>
      <c r="D42" s="7">
        <v>148.19999999999999</v>
      </c>
      <c r="E42" s="7">
        <v>388.21999999999997</v>
      </c>
      <c r="F42" s="7">
        <v>212.07499999999999</v>
      </c>
      <c r="G42" s="7">
        <v>1147.98</v>
      </c>
    </row>
    <row r="43" spans="1:7" x14ac:dyDescent="0.3">
      <c r="A43" t="s">
        <v>6223</v>
      </c>
      <c r="C43" s="7">
        <v>4045.63</v>
      </c>
      <c r="D43" s="7">
        <v>3469.64</v>
      </c>
      <c r="E43" s="7">
        <v>3836.6949999999997</v>
      </c>
      <c r="F43" s="7">
        <v>2414.145</v>
      </c>
      <c r="G43" s="7">
        <v>13766.109999999999</v>
      </c>
    </row>
    <row r="44" spans="1:7" x14ac:dyDescent="0.3">
      <c r="A44" t="s">
        <v>6224</v>
      </c>
      <c r="B44" s="9" t="s">
        <v>6212</v>
      </c>
      <c r="C44" s="7">
        <v>112.69499999999999</v>
      </c>
      <c r="D44" s="7">
        <v>166.32</v>
      </c>
      <c r="E44" s="7">
        <v>843.71499999999992</v>
      </c>
      <c r="F44" s="7">
        <v>146.685</v>
      </c>
      <c r="G44" s="7">
        <v>1269.415</v>
      </c>
    </row>
    <row r="45" spans="1:7" x14ac:dyDescent="0.3">
      <c r="B45" s="9" t="s">
        <v>6213</v>
      </c>
      <c r="C45" s="7">
        <v>114.87999999999998</v>
      </c>
      <c r="D45" s="7">
        <v>133.815</v>
      </c>
      <c r="E45" s="7">
        <v>91.175000000000011</v>
      </c>
      <c r="F45" s="7">
        <v>53.759999999999991</v>
      </c>
      <c r="G45" s="7">
        <v>393.63</v>
      </c>
    </row>
    <row r="46" spans="1:7" x14ac:dyDescent="0.3">
      <c r="B46" s="9" t="s">
        <v>6210</v>
      </c>
      <c r="C46" s="7">
        <v>277.76</v>
      </c>
      <c r="D46" s="7">
        <v>175.41</v>
      </c>
      <c r="E46" s="7">
        <v>462.50999999999993</v>
      </c>
      <c r="F46" s="7">
        <v>399.52499999999998</v>
      </c>
      <c r="G46" s="7">
        <v>1315.2049999999999</v>
      </c>
    </row>
    <row r="47" spans="1:7" x14ac:dyDescent="0.3">
      <c r="B47" s="9" t="s">
        <v>6200</v>
      </c>
      <c r="C47" s="7">
        <v>197.89499999999998</v>
      </c>
      <c r="D47" s="7">
        <v>289.755</v>
      </c>
      <c r="E47" s="7">
        <v>88.545000000000002</v>
      </c>
      <c r="F47" s="7">
        <v>200.25499999999997</v>
      </c>
      <c r="G47" s="7">
        <v>776.44999999999993</v>
      </c>
    </row>
    <row r="48" spans="1:7" x14ac:dyDescent="0.3">
      <c r="B48" s="9" t="s">
        <v>6211</v>
      </c>
      <c r="C48" s="7">
        <v>193.11499999999998</v>
      </c>
      <c r="D48" s="7">
        <v>212.49499999999998</v>
      </c>
      <c r="E48" s="7">
        <v>292.29000000000002</v>
      </c>
      <c r="F48" s="7">
        <v>304.46999999999997</v>
      </c>
      <c r="G48" s="7">
        <v>1002.3699999999999</v>
      </c>
    </row>
    <row r="49" spans="1:7" x14ac:dyDescent="0.3">
      <c r="B49" s="9" t="s">
        <v>6201</v>
      </c>
      <c r="C49" s="7">
        <v>179.79</v>
      </c>
      <c r="D49" s="7">
        <v>426.2</v>
      </c>
      <c r="E49" s="7">
        <v>170.08999999999997</v>
      </c>
      <c r="F49" s="7">
        <v>379.31</v>
      </c>
      <c r="G49" s="7">
        <v>1155.3899999999999</v>
      </c>
    </row>
    <row r="50" spans="1:7" x14ac:dyDescent="0.3">
      <c r="B50" s="9" t="s">
        <v>6214</v>
      </c>
      <c r="C50" s="7">
        <v>247.28999999999996</v>
      </c>
      <c r="D50" s="7">
        <v>246.685</v>
      </c>
      <c r="E50" s="7">
        <v>271.05499999999995</v>
      </c>
      <c r="F50" s="7">
        <v>141.69999999999999</v>
      </c>
      <c r="G50" s="7">
        <v>906.73</v>
      </c>
    </row>
    <row r="51" spans="1:7" x14ac:dyDescent="0.3">
      <c r="B51" s="9" t="s">
        <v>6215</v>
      </c>
      <c r="C51" s="7">
        <v>116.39499999999998</v>
      </c>
      <c r="D51" s="7">
        <v>41.25</v>
      </c>
      <c r="E51" s="7">
        <v>15.54</v>
      </c>
      <c r="F51" s="7">
        <v>71.06</v>
      </c>
      <c r="G51" s="7">
        <v>244.24499999999998</v>
      </c>
    </row>
    <row r="52" spans="1:7" x14ac:dyDescent="0.3">
      <c r="A52" t="s">
        <v>6225</v>
      </c>
      <c r="C52" s="7">
        <v>1439.82</v>
      </c>
      <c r="D52" s="7">
        <v>1691.9299999999998</v>
      </c>
      <c r="E52" s="7">
        <v>2234.9199999999996</v>
      </c>
      <c r="F52" s="7">
        <v>1696.7649999999999</v>
      </c>
      <c r="G52" s="7">
        <v>7063.4349999999986</v>
      </c>
    </row>
    <row r="53" spans="1:7" x14ac:dyDescent="0.3">
      <c r="A53" t="s">
        <v>6198</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05C9-B1A5-403B-BC0C-E4504EF90FB8}">
  <dimension ref="A3:P7"/>
  <sheetViews>
    <sheetView workbookViewId="0">
      <selection activeCell="L18" sqref="L18"/>
    </sheetView>
  </sheetViews>
  <sheetFormatPr defaultRowHeight="14.4" x14ac:dyDescent="0.3"/>
  <cols>
    <col min="1" max="1" width="14" bestFit="1" customWidth="1"/>
    <col min="2" max="2" width="11.6640625" bestFit="1" customWidth="1"/>
    <col min="3" max="5" width="18.88671875" bestFit="1" customWidth="1"/>
    <col min="6" max="7" width="10.77734375" bestFit="1" customWidth="1"/>
  </cols>
  <sheetData>
    <row r="3" spans="1:16" x14ac:dyDescent="0.3">
      <c r="A3" s="6" t="s">
        <v>7</v>
      </c>
      <c r="B3" t="s">
        <v>6208</v>
      </c>
      <c r="P3" s="8"/>
    </row>
    <row r="4" spans="1:16" x14ac:dyDescent="0.3">
      <c r="A4" t="s">
        <v>28</v>
      </c>
      <c r="B4" s="10">
        <v>2798.5050000000001</v>
      </c>
    </row>
    <row r="5" spans="1:16" x14ac:dyDescent="0.3">
      <c r="A5" t="s">
        <v>318</v>
      </c>
      <c r="B5" s="10">
        <v>6696.8649999999989</v>
      </c>
    </row>
    <row r="6" spans="1:16" x14ac:dyDescent="0.3">
      <c r="A6" t="s">
        <v>19</v>
      </c>
      <c r="B6" s="10">
        <v>35638.88499999998</v>
      </c>
    </row>
    <row r="7" spans="1:16" x14ac:dyDescent="0.3">
      <c r="A7" t="s">
        <v>6198</v>
      </c>
      <c r="B7" s="10">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CACF-BBFF-47A5-A891-864A5302873B}">
  <dimension ref="A3:P9"/>
  <sheetViews>
    <sheetView workbookViewId="0">
      <selection activeCell="L14" sqref="L14"/>
    </sheetView>
  </sheetViews>
  <sheetFormatPr defaultRowHeight="14.4" x14ac:dyDescent="0.3"/>
  <cols>
    <col min="1" max="1" width="16.88671875" bestFit="1" customWidth="1"/>
    <col min="2" max="2" width="11.6640625" bestFit="1" customWidth="1"/>
    <col min="3" max="5" width="18.88671875" bestFit="1" customWidth="1"/>
    <col min="6" max="7" width="10.77734375" bestFit="1" customWidth="1"/>
  </cols>
  <sheetData>
    <row r="3" spans="1:16" x14ac:dyDescent="0.3">
      <c r="A3" s="6" t="s">
        <v>4</v>
      </c>
      <c r="B3" t="s">
        <v>6208</v>
      </c>
      <c r="P3" s="8"/>
    </row>
    <row r="4" spans="1:16" x14ac:dyDescent="0.3">
      <c r="A4" t="s">
        <v>3753</v>
      </c>
      <c r="B4" s="10">
        <v>278.01</v>
      </c>
    </row>
    <row r="5" spans="1:16" x14ac:dyDescent="0.3">
      <c r="A5" t="s">
        <v>1598</v>
      </c>
      <c r="B5" s="10">
        <v>281.67499999999995</v>
      </c>
    </row>
    <row r="6" spans="1:16" x14ac:dyDescent="0.3">
      <c r="A6" t="s">
        <v>2587</v>
      </c>
      <c r="B6" s="10">
        <v>289.11</v>
      </c>
    </row>
    <row r="7" spans="1:16" x14ac:dyDescent="0.3">
      <c r="A7" t="s">
        <v>5765</v>
      </c>
      <c r="B7" s="10">
        <v>307.04499999999996</v>
      </c>
    </row>
    <row r="8" spans="1:16" x14ac:dyDescent="0.3">
      <c r="A8" t="s">
        <v>5114</v>
      </c>
      <c r="B8" s="10">
        <v>317.06999999999994</v>
      </c>
    </row>
    <row r="9" spans="1:16" x14ac:dyDescent="0.3">
      <c r="A9" t="s">
        <v>6198</v>
      </c>
      <c r="B9" s="10">
        <v>1472.9099999999999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150B-9A3D-4EF7-952F-FF17F5E14EDD}">
  <dimension ref="U1:Z1"/>
  <sheetViews>
    <sheetView showGridLines="0" tabSelected="1" topLeftCell="B2" workbookViewId="0">
      <selection activeCell="O31" sqref="O31"/>
    </sheetView>
  </sheetViews>
  <sheetFormatPr defaultRowHeight="14.4" x14ac:dyDescent="0.3"/>
  <cols>
    <col min="1" max="1" width="1.77734375" customWidth="1"/>
    <col min="16" max="16" width="3.33203125" customWidth="1"/>
    <col min="17" max="17" width="5.21875" customWidth="1"/>
    <col min="18" max="18" width="6.5546875" customWidth="1"/>
    <col min="19" max="19" width="3.109375" customWidth="1"/>
    <col min="20" max="20" width="1.77734375" customWidth="1"/>
    <col min="21" max="21" width="1.33203125" hidden="1" customWidth="1"/>
    <col min="22" max="22" width="3.77734375" hidden="1" customWidth="1"/>
    <col min="23" max="23" width="2.33203125" hidden="1" customWidth="1"/>
    <col min="24" max="24" width="2.109375" hidden="1" customWidth="1"/>
    <col min="25" max="25" width="2.88671875" hidden="1" customWidth="1"/>
    <col min="26" max="26" width="2.44140625" hidden="1"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Q9" sqref="Q9"/>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9.33203125" customWidth="1"/>
    <col min="8" max="8" width="15" customWidth="1"/>
    <col min="9" max="9" width="12.6640625" customWidth="1"/>
    <col min="10" max="10" width="11.6640625" customWidth="1"/>
    <col min="11" max="11" width="5.77734375" customWidth="1"/>
    <col min="12" max="13" width="10.77734375" customWidth="1"/>
    <col min="14" max="14" width="18.109375" customWidth="1"/>
    <col min="15" max="15" width="17.21875" customWidth="1"/>
    <col min="16" max="16" width="14.44140625"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 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Dr.Surendran Tharayil</cp:lastModifiedBy>
  <cp:revision/>
  <dcterms:created xsi:type="dcterms:W3CDTF">2022-11-26T09:51:45Z</dcterms:created>
  <dcterms:modified xsi:type="dcterms:W3CDTF">2025-08-12T17:25:35Z</dcterms:modified>
  <cp:category/>
  <cp:contentStatus/>
</cp:coreProperties>
</file>